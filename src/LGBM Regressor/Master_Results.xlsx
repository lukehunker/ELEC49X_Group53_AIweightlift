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chool &amp; Projects\Queens\Capstone\LGBM Regressor\"/>
    </mc:Choice>
  </mc:AlternateContent>
  <xr:revisionPtr revIDLastSave="0" documentId="13_ncr:1_{073CEE19-9A6E-4BB9-B49D-95EFCF6D725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1" l="1"/>
  <c r="C77" i="1"/>
  <c r="C91" i="1"/>
  <c r="C89" i="1"/>
  <c r="C36" i="1"/>
  <c r="C73" i="1"/>
  <c r="C54" i="1"/>
  <c r="C20" i="1"/>
  <c r="C15" i="1"/>
  <c r="C13" i="1"/>
  <c r="C69" i="1"/>
  <c r="C72" i="1"/>
  <c r="C76" i="1"/>
  <c r="C78" i="1"/>
  <c r="C80" i="1"/>
  <c r="C92" i="1"/>
  <c r="C11" i="1"/>
</calcChain>
</file>

<file path=xl/sharedStrings.xml><?xml version="1.0" encoding="utf-8"?>
<sst xmlns="http://schemas.openxmlformats.org/spreadsheetml/2006/main" count="187" uniqueCount="166">
  <si>
    <t>video_name</t>
  </si>
  <si>
    <t>delta_speed_m_s</t>
  </si>
  <si>
    <t>Bench Press 1.mp4</t>
  </si>
  <si>
    <t>Bench Press 2.mp4</t>
  </si>
  <si>
    <t>Bench Press 3.mp4</t>
  </si>
  <si>
    <t>Bench Press 4.mp4</t>
  </si>
  <si>
    <t>Bench Press 5.mp4</t>
  </si>
  <si>
    <t>Bench Press 6.mp4</t>
  </si>
  <si>
    <t>Bench Press 7.mp4</t>
  </si>
  <si>
    <t>Bench Press 8.mp4</t>
  </si>
  <si>
    <t>Bench Press 9.mov</t>
  </si>
  <si>
    <t>Bench Press 10.mp4</t>
  </si>
  <si>
    <t>Bench Press 11.mp4</t>
  </si>
  <si>
    <t>Bench Press 12.mp4</t>
  </si>
  <si>
    <t>Bench Press 13.mp4</t>
  </si>
  <si>
    <t>Bench Press 14.mp4</t>
  </si>
  <si>
    <t>Bench Press 15.mp4</t>
  </si>
  <si>
    <t>Bench Press 16.mp4</t>
  </si>
  <si>
    <t>Bench Press 17.mp4</t>
  </si>
  <si>
    <t>Bench Press 18.mp4</t>
  </si>
  <si>
    <t>Bench Press 19.mp4</t>
  </si>
  <si>
    <t>Bench Press 20.mp4</t>
  </si>
  <si>
    <t>Bench Press 21.mp4</t>
  </si>
  <si>
    <t>Bench Press 22.mp4</t>
  </si>
  <si>
    <t>Bench Press 23.mp4</t>
  </si>
  <si>
    <t>Bench Press 24.mp4</t>
  </si>
  <si>
    <t>Bench Press 25.mp4</t>
  </si>
  <si>
    <t>Bench Press 26.mp4</t>
  </si>
  <si>
    <t>Bench Press 27.mp4</t>
  </si>
  <si>
    <t>Bench Press 28.mp4</t>
  </si>
  <si>
    <t>Bench Press 29.mp4</t>
  </si>
  <si>
    <t>Bench Press 30.mp4</t>
  </si>
  <si>
    <t>Bench Press 31.mp4</t>
  </si>
  <si>
    <t>Bench Press 32.mp4</t>
  </si>
  <si>
    <t>Squat 1.mp4</t>
  </si>
  <si>
    <t>Squat 2.mp4</t>
  </si>
  <si>
    <t>Squat 3.mp4</t>
  </si>
  <si>
    <t>Squat 4.mp4</t>
  </si>
  <si>
    <t>Squat 5.mp4</t>
  </si>
  <si>
    <t>Squat 6.mp4</t>
  </si>
  <si>
    <t>Squat 7.mp4</t>
  </si>
  <si>
    <t>Squat 8.mp4</t>
  </si>
  <si>
    <t>Squat 9.mp4</t>
  </si>
  <si>
    <t>Squat 10.mp4</t>
  </si>
  <si>
    <t>Squat 11.mp4</t>
  </si>
  <si>
    <t>Squat 12.mp4</t>
  </si>
  <si>
    <t>Squat 13.mp4</t>
  </si>
  <si>
    <t>Squat 14.mp4</t>
  </si>
  <si>
    <t>Squat 15.mp4</t>
  </si>
  <si>
    <t>Squat 16.mp4</t>
  </si>
  <si>
    <t>Squat 17.mp4</t>
  </si>
  <si>
    <t>Squat 18.mp4</t>
  </si>
  <si>
    <t>Squat 19.mp4</t>
  </si>
  <si>
    <t>Squat 20.mp4</t>
  </si>
  <si>
    <t>Squat 21.mp4</t>
  </si>
  <si>
    <t>Squat 22.mp4</t>
  </si>
  <si>
    <t>Squat 23.mp4</t>
  </si>
  <si>
    <t>Squat 24.mp4</t>
  </si>
  <si>
    <t>Squat 25.mp4</t>
  </si>
  <si>
    <t>Squat 26.mp4</t>
  </si>
  <si>
    <t>Squat 27.mp4</t>
  </si>
  <si>
    <t>Squat 28.mp4</t>
  </si>
  <si>
    <t>Squat 29.mp4</t>
  </si>
  <si>
    <t>Squat 30.mp4</t>
  </si>
  <si>
    <t>Squat 31.mp4</t>
  </si>
  <si>
    <t>Squat 32.mp4</t>
  </si>
  <si>
    <t>Squat 33.mp4</t>
  </si>
  <si>
    <t>Squat 34.mp4</t>
  </si>
  <si>
    <t>Squat 35.mp4</t>
  </si>
  <si>
    <t>Deadlift 1.mp4</t>
  </si>
  <si>
    <t>Deadlift 2.mp4</t>
  </si>
  <si>
    <t>Deadlift 3.mp4</t>
  </si>
  <si>
    <t>Deadlift 4.mp4</t>
  </si>
  <si>
    <t>Deadlift 5.mp4</t>
  </si>
  <si>
    <t>Deadlift 6.mp4</t>
  </si>
  <si>
    <t>Deadlift 7.mp4</t>
  </si>
  <si>
    <t>Deadlift 8.mp4</t>
  </si>
  <si>
    <t>Deadlift 9.mp4</t>
  </si>
  <si>
    <t>Deadlift 10.mp4</t>
  </si>
  <si>
    <t>Deadlift 11.mp4</t>
  </si>
  <si>
    <t>Deadlift 12.mp4</t>
  </si>
  <si>
    <t>Deadlift 13.mp4</t>
  </si>
  <si>
    <t>Deadlift 14.mp4</t>
  </si>
  <si>
    <t>Deadlift 15.mp4</t>
  </si>
  <si>
    <t>Deadlift 16.mp4</t>
  </si>
  <si>
    <t>Deadlift 17.mp4</t>
  </si>
  <si>
    <t>Deadlift 18.mp4</t>
  </si>
  <si>
    <t>Deadlift 19.mp4</t>
  </si>
  <si>
    <t>Deadlift 20.mp4</t>
  </si>
  <si>
    <t>Deadlift 21.mp4</t>
  </si>
  <si>
    <t>Deadlift 22.mp4</t>
  </si>
  <si>
    <t>Deadlift 23.mp4</t>
  </si>
  <si>
    <t>Deadlift 24.mp4</t>
  </si>
  <si>
    <t>Deadlift 25.mp4</t>
  </si>
  <si>
    <t>True_RPE</t>
  </si>
  <si>
    <t>bench_press + RPE=7</t>
  </si>
  <si>
    <t>detection_rate</t>
  </si>
  <si>
    <t>detection_count</t>
  </si>
  <si>
    <t>total_frames</t>
  </si>
  <si>
    <t>confidence_mean</t>
  </si>
  <si>
    <t>confidence_std</t>
  </si>
  <si>
    <t>confidence_min</t>
  </si>
  <si>
    <t>AU04_max</t>
  </si>
  <si>
    <t>AU04_q95</t>
  </si>
  <si>
    <t>AU04_peak_ratio</t>
  </si>
  <si>
    <t>AU06_max</t>
  </si>
  <si>
    <t>AU06_q95</t>
  </si>
  <si>
    <t>AU06_peak_ratio</t>
  </si>
  <si>
    <t>AU07_max</t>
  </si>
  <si>
    <t>AU07_q95</t>
  </si>
  <si>
    <t>AU07_peak_ratio</t>
  </si>
  <si>
    <t>AU09_max</t>
  </si>
  <si>
    <t>AU09_q95</t>
  </si>
  <si>
    <t>AU09_peak_ratio</t>
  </si>
  <si>
    <t>AU10_max</t>
  </si>
  <si>
    <t>AU10_q95</t>
  </si>
  <si>
    <t>AU10_peak_ratio</t>
  </si>
  <si>
    <t>AU12_max</t>
  </si>
  <si>
    <t>AU12_q95</t>
  </si>
  <si>
    <t>AU12_peak_ratio</t>
  </si>
  <si>
    <t>AU17_max</t>
  </si>
  <si>
    <t>AU17_q95</t>
  </si>
  <si>
    <t>AU17_peak_ratio</t>
  </si>
  <si>
    <t>AU20_max</t>
  </si>
  <si>
    <t>AU20_q95</t>
  </si>
  <si>
    <t>AU20_peak_ratio</t>
  </si>
  <si>
    <t>AU25_max</t>
  </si>
  <si>
    <t>AU25_q95</t>
  </si>
  <si>
    <t>AU25_peak_ratio</t>
  </si>
  <si>
    <t>AU26_max</t>
  </si>
  <si>
    <t>AU26_q95</t>
  </si>
  <si>
    <t>AU26_peak_ratio</t>
  </si>
  <si>
    <t>au_overall_max</t>
  </si>
  <si>
    <t>au_high_peak_count</t>
  </si>
  <si>
    <t>landmark_stability_x</t>
  </si>
  <si>
    <t>landmark_stability_y</t>
  </si>
  <si>
    <t>landmark_stability_overall</t>
  </si>
  <si>
    <t>head_movement_mean</t>
  </si>
  <si>
    <t>head_movement_max</t>
  </si>
  <si>
    <t>head_movement_std</t>
  </si>
  <si>
    <t>AU04_velocity_mean</t>
  </si>
  <si>
    <t>AU04_velocity_max</t>
  </si>
  <si>
    <t>AU04_velocity_std</t>
  </si>
  <si>
    <t>AU06_velocity_mean</t>
  </si>
  <si>
    <t>AU06_velocity_max</t>
  </si>
  <si>
    <t>AU06_velocity_std</t>
  </si>
  <si>
    <t>AU07_velocity_mean</t>
  </si>
  <si>
    <t>AU07_velocity_max</t>
  </si>
  <si>
    <t>AU07_velocity_std</t>
  </si>
  <si>
    <t>expression_change_mean</t>
  </si>
  <si>
    <t>expression_change_max</t>
  </si>
  <si>
    <t>expression_change_std</t>
  </si>
  <si>
    <t>imputed</t>
  </si>
  <si>
    <t>imputation_method</t>
  </si>
  <si>
    <t>bench_press + RPE=10</t>
  </si>
  <si>
    <t>bench_press + RPE=9</t>
  </si>
  <si>
    <t>RPE=6 (any exercise)</t>
  </si>
  <si>
    <t>bench_press + RPE=8</t>
  </si>
  <si>
    <t>squat + RPE=8</t>
  </si>
  <si>
    <t>squat + RPE=6</t>
  </si>
  <si>
    <t>squat + RPE=9</t>
  </si>
  <si>
    <t>deadlift + RPE=9</t>
  </si>
  <si>
    <t>deadlift + RPE=7</t>
  </si>
  <si>
    <t>deadlift + RPE=10</t>
  </si>
  <si>
    <t>RPE=10 (any exercise)</t>
  </si>
  <si>
    <t>squat + RPE=7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</si>
</sst>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3"/>
  <sheetViews>
    <sheetView tabSelected="1" workbookViewId="0">
      <selection activeCell="C24" sqref="C24"/>
    </sheetView>
  </sheetViews>
  <sheetFormatPr defaultRowHeight="15" x14ac:dyDescent="0.25"/>
  <cols>
    <col min="1" max="1" width="38.85546875" customWidth="1"/>
    <col min="2" max="2" width="23.7109375" customWidth="1"/>
    <col min="3" max="3" width="28.85546875" customWidth="1"/>
    <col min="4" max="4" width="27.42578125" customWidth="1"/>
    <col min="5" max="5" width="28.85546875" customWidth="1"/>
    <col min="6" max="6" width="13.42578125" customWidth="1"/>
    <col min="10" max="10" width="14.5703125" customWidth="1"/>
  </cols>
  <sheetData>
    <row r="1" spans="1:61" x14ac:dyDescent="0.25">
      <c r="A1" s="1" t="s">
        <v>0</v>
      </c>
      <c r="B1" s="1" t="s">
        <v>94</v>
      </c>
      <c r="C1" s="1" t="s">
        <v>1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  <c r="AD1" t="s">
        <v>122</v>
      </c>
      <c r="AE1" t="s">
        <v>123</v>
      </c>
      <c r="AF1" t="s">
        <v>124</v>
      </c>
      <c r="AG1" t="s">
        <v>125</v>
      </c>
      <c r="AH1" t="s">
        <v>126</v>
      </c>
      <c r="AI1" t="s">
        <v>127</v>
      </c>
      <c r="AJ1" t="s">
        <v>128</v>
      </c>
      <c r="AK1" t="s">
        <v>129</v>
      </c>
      <c r="AL1" t="s">
        <v>130</v>
      </c>
      <c r="AM1" t="s">
        <v>131</v>
      </c>
      <c r="AN1" t="s">
        <v>132</v>
      </c>
      <c r="AO1" t="s">
        <v>133</v>
      </c>
      <c r="AP1" t="s">
        <v>134</v>
      </c>
      <c r="AQ1" t="s">
        <v>135</v>
      </c>
      <c r="AR1" t="s">
        <v>136</v>
      </c>
      <c r="AS1" t="s">
        <v>137</v>
      </c>
      <c r="AT1" t="s">
        <v>138</v>
      </c>
      <c r="AU1" t="s">
        <v>139</v>
      </c>
      <c r="AV1" t="s">
        <v>140</v>
      </c>
      <c r="AW1" t="s">
        <v>141</v>
      </c>
      <c r="AX1" t="s">
        <v>142</v>
      </c>
      <c r="AY1" t="s">
        <v>143</v>
      </c>
      <c r="AZ1" t="s">
        <v>144</v>
      </c>
      <c r="BA1" t="s">
        <v>145</v>
      </c>
      <c r="BB1" t="s">
        <v>146</v>
      </c>
      <c r="BC1" t="s">
        <v>147</v>
      </c>
      <c r="BD1" t="s">
        <v>148</v>
      </c>
      <c r="BE1" t="s">
        <v>149</v>
      </c>
      <c r="BF1" t="s">
        <v>150</v>
      </c>
      <c r="BG1" t="s">
        <v>151</v>
      </c>
      <c r="BH1" t="s">
        <v>152</v>
      </c>
      <c r="BI1" t="s">
        <v>153</v>
      </c>
    </row>
    <row r="2" spans="1:61" x14ac:dyDescent="0.25">
      <c r="A2" t="s">
        <v>2</v>
      </c>
      <c r="B2">
        <v>7</v>
      </c>
      <c r="C2">
        <v>0.28696606299990718</v>
      </c>
      <c r="D2">
        <v>0.44273262298624599</v>
      </c>
      <c r="E2">
        <v>93</v>
      </c>
      <c r="F2">
        <v>219</v>
      </c>
      <c r="G2">
        <v>0.907511838735369</v>
      </c>
      <c r="H2">
        <v>7.32784458940684E-2</v>
      </c>
      <c r="I2">
        <v>0.625</v>
      </c>
      <c r="J2">
        <v>1.9524999999999899</v>
      </c>
      <c r="K2">
        <v>1.25849999999999</v>
      </c>
      <c r="L2">
        <v>10.404999999999999</v>
      </c>
      <c r="M2">
        <v>1.0375000000000001</v>
      </c>
      <c r="N2">
        <v>0.72874999999999901</v>
      </c>
      <c r="O2">
        <v>2.0776117318435698</v>
      </c>
      <c r="P2">
        <v>2.15</v>
      </c>
      <c r="Q2">
        <v>1.22762499999999</v>
      </c>
      <c r="R2">
        <v>2.15</v>
      </c>
      <c r="S2">
        <v>0.65500000000000003</v>
      </c>
      <c r="T2">
        <v>0.49337499999999901</v>
      </c>
      <c r="U2">
        <v>0.65500000000000003</v>
      </c>
      <c r="V2">
        <v>1.8474999999999999</v>
      </c>
      <c r="W2">
        <v>0.85249999999999904</v>
      </c>
      <c r="X2">
        <v>1.8474999999999999</v>
      </c>
      <c r="Y2">
        <v>1.1099999999999901</v>
      </c>
      <c r="Z2">
        <v>0.71812500000000001</v>
      </c>
      <c r="AA2">
        <v>4.7180555555555497</v>
      </c>
      <c r="AB2">
        <v>2.1850000000000001</v>
      </c>
      <c r="AC2">
        <v>1.6736249999999899</v>
      </c>
      <c r="AD2">
        <v>2.1850000000000001</v>
      </c>
      <c r="AE2">
        <v>1.825</v>
      </c>
      <c r="AF2">
        <v>0.69349999999999901</v>
      </c>
      <c r="AG2">
        <v>1.825</v>
      </c>
      <c r="AH2">
        <v>2.0924999999999998</v>
      </c>
      <c r="AI2">
        <v>1.5676249999999901</v>
      </c>
      <c r="AJ2">
        <v>2.0924999999999998</v>
      </c>
      <c r="AK2">
        <v>2.05249999999999</v>
      </c>
      <c r="AL2">
        <v>1.5963749999999901</v>
      </c>
      <c r="AM2">
        <v>2.05249999999999</v>
      </c>
      <c r="AN2">
        <v>2.9775</v>
      </c>
      <c r="AO2">
        <v>3.25</v>
      </c>
      <c r="AP2">
        <v>53.211469569984502</v>
      </c>
      <c r="AQ2">
        <v>29.5744231539575</v>
      </c>
      <c r="AR2">
        <v>41.392946361970999</v>
      </c>
      <c r="AS2">
        <v>0</v>
      </c>
      <c r="AT2">
        <v>0</v>
      </c>
      <c r="AU2">
        <v>0</v>
      </c>
      <c r="AV2">
        <v>0.25797062084410199</v>
      </c>
      <c r="AW2">
        <v>1.3525</v>
      </c>
      <c r="AX2">
        <v>0.29679839083255799</v>
      </c>
      <c r="AY2">
        <v>0.14150106828756201</v>
      </c>
      <c r="AZ2">
        <v>1.01</v>
      </c>
      <c r="BA2">
        <v>0.20434543228591301</v>
      </c>
      <c r="BB2">
        <v>0.32729110589136901</v>
      </c>
      <c r="BC2">
        <v>1.9624999999999999</v>
      </c>
      <c r="BD2">
        <v>0.36909668895699499</v>
      </c>
      <c r="BE2">
        <v>0.23303469927256301</v>
      </c>
      <c r="BF2">
        <v>0.81674999999999998</v>
      </c>
      <c r="BG2">
        <v>0.14988521152654999</v>
      </c>
      <c r="BH2" t="b">
        <v>1</v>
      </c>
      <c r="BI2" t="s">
        <v>95</v>
      </c>
    </row>
    <row r="3" spans="1:61" x14ac:dyDescent="0.25">
      <c r="A3" t="s">
        <v>3</v>
      </c>
      <c r="B3">
        <v>10</v>
      </c>
      <c r="C3">
        <v>0.28416241115993945</v>
      </c>
      <c r="D3">
        <v>1</v>
      </c>
      <c r="E3">
        <v>226</v>
      </c>
      <c r="F3">
        <v>226</v>
      </c>
      <c r="G3">
        <v>0.85172566371681402</v>
      </c>
      <c r="H3">
        <v>7.7809653532777301E-2</v>
      </c>
      <c r="I3">
        <v>0.77</v>
      </c>
      <c r="J3">
        <v>2.16</v>
      </c>
      <c r="K3">
        <v>1.3784999999999901</v>
      </c>
      <c r="L3">
        <v>2.16</v>
      </c>
      <c r="M3">
        <v>0.55000000000000004</v>
      </c>
      <c r="N3">
        <v>8.69999999999998E-2</v>
      </c>
      <c r="O3">
        <v>0.55000000000000004</v>
      </c>
      <c r="P3">
        <v>0.78</v>
      </c>
      <c r="Q3">
        <v>7.5499999999999803E-2</v>
      </c>
      <c r="R3">
        <v>0.78</v>
      </c>
      <c r="S3">
        <v>0.9</v>
      </c>
      <c r="T3">
        <v>0.51099999999999901</v>
      </c>
      <c r="U3">
        <v>0.9</v>
      </c>
      <c r="V3">
        <v>1.24</v>
      </c>
      <c r="W3">
        <v>0.76</v>
      </c>
      <c r="X3">
        <v>1.24</v>
      </c>
      <c r="Y3">
        <v>0.55000000000000004</v>
      </c>
      <c r="Z3">
        <v>4.8499999999999897E-2</v>
      </c>
      <c r="AA3">
        <v>0.55000000000000004</v>
      </c>
      <c r="AB3">
        <v>2.59</v>
      </c>
      <c r="AC3">
        <v>1.7364999999999899</v>
      </c>
      <c r="AD3">
        <v>2.59</v>
      </c>
      <c r="AE3">
        <v>1.42</v>
      </c>
      <c r="AF3">
        <v>0.70849999999999902</v>
      </c>
      <c r="AG3">
        <v>1.42</v>
      </c>
      <c r="AH3">
        <v>2.61</v>
      </c>
      <c r="AI3">
        <v>1.6239999999999899</v>
      </c>
      <c r="AJ3">
        <v>2.61</v>
      </c>
      <c r="AK3">
        <v>1.92</v>
      </c>
      <c r="AL3">
        <v>1.617</v>
      </c>
      <c r="AM3">
        <v>1.92</v>
      </c>
      <c r="AN3">
        <v>2.61</v>
      </c>
      <c r="AO3">
        <v>3</v>
      </c>
      <c r="AP3">
        <v>21.964354966037</v>
      </c>
      <c r="AQ3">
        <v>24.263323874699399</v>
      </c>
      <c r="AR3">
        <v>23.113839420368201</v>
      </c>
      <c r="AS3">
        <v>0</v>
      </c>
      <c r="AT3">
        <v>0</v>
      </c>
      <c r="AU3">
        <v>0</v>
      </c>
      <c r="AV3">
        <v>0.24076233183856499</v>
      </c>
      <c r="AW3">
        <v>1.1000000000000001</v>
      </c>
      <c r="AX3">
        <v>0.23390015887343801</v>
      </c>
      <c r="AY3">
        <v>1.6681614349775699E-2</v>
      </c>
      <c r="AZ3">
        <v>0.44</v>
      </c>
      <c r="BA3">
        <v>6.0370470412630502E-2</v>
      </c>
      <c r="BB3">
        <v>1.8385650224215198E-2</v>
      </c>
      <c r="BC3">
        <v>0.65</v>
      </c>
      <c r="BD3">
        <v>7.0875968024509406E-2</v>
      </c>
      <c r="BE3">
        <v>0.143439461883408</v>
      </c>
      <c r="BF3">
        <v>0.56499999999999895</v>
      </c>
      <c r="BG3">
        <v>9.70225098179264E-2</v>
      </c>
      <c r="BH3" t="b">
        <v>0</v>
      </c>
    </row>
    <row r="4" spans="1:61" x14ac:dyDescent="0.25">
      <c r="A4" t="s">
        <v>4</v>
      </c>
      <c r="B4">
        <v>8</v>
      </c>
      <c r="C4">
        <v>1.2488808746337892</v>
      </c>
      <c r="D4">
        <v>0.24561403508771901</v>
      </c>
      <c r="E4">
        <v>28</v>
      </c>
      <c r="F4">
        <v>114</v>
      </c>
      <c r="G4">
        <v>0.97071428571428497</v>
      </c>
      <c r="H4">
        <v>3.5058530047629301E-2</v>
      </c>
      <c r="I4">
        <v>0.82</v>
      </c>
      <c r="J4">
        <v>1.41</v>
      </c>
      <c r="K4">
        <v>1.02999999999999</v>
      </c>
      <c r="L4">
        <v>1.41</v>
      </c>
      <c r="M4">
        <v>1.0900000000000001</v>
      </c>
      <c r="N4">
        <v>1.0225</v>
      </c>
      <c r="O4">
        <v>1.0900000000000001</v>
      </c>
      <c r="P4">
        <v>2.38</v>
      </c>
      <c r="Q4">
        <v>1.96399999999999</v>
      </c>
      <c r="R4">
        <v>2.38</v>
      </c>
      <c r="S4">
        <v>3.33</v>
      </c>
      <c r="T4">
        <v>0.37</v>
      </c>
      <c r="U4">
        <v>3.33</v>
      </c>
      <c r="V4">
        <v>1.1000000000000001</v>
      </c>
      <c r="W4">
        <v>1.03799999999999</v>
      </c>
      <c r="X4">
        <v>1.1000000000000001</v>
      </c>
      <c r="Y4">
        <v>1.21</v>
      </c>
      <c r="Z4">
        <v>1.0469999999999899</v>
      </c>
      <c r="AA4">
        <v>1.21</v>
      </c>
      <c r="AB4">
        <v>3.33</v>
      </c>
      <c r="AC4">
        <v>2.6444999999999901</v>
      </c>
      <c r="AD4">
        <v>3.33</v>
      </c>
      <c r="AE4">
        <v>1.18</v>
      </c>
      <c r="AF4">
        <v>0.96549999999999903</v>
      </c>
      <c r="AG4">
        <v>1.18</v>
      </c>
      <c r="AH4">
        <v>1.91</v>
      </c>
      <c r="AI4">
        <v>1.1499999999999999</v>
      </c>
      <c r="AJ4">
        <v>1.91</v>
      </c>
      <c r="AK4">
        <v>3.66</v>
      </c>
      <c r="AL4">
        <v>3.2534999999999901</v>
      </c>
      <c r="AM4">
        <v>3.66</v>
      </c>
      <c r="AN4">
        <v>3.66</v>
      </c>
      <c r="AO4">
        <v>4</v>
      </c>
      <c r="AP4">
        <v>12.4832033576534</v>
      </c>
      <c r="AQ4">
        <v>8.3580282355838094</v>
      </c>
      <c r="AR4">
        <v>10.4206157966186</v>
      </c>
      <c r="AS4">
        <v>0</v>
      </c>
      <c r="AT4">
        <v>0</v>
      </c>
      <c r="AU4">
        <v>0</v>
      </c>
      <c r="AV4">
        <v>0.17296296296296201</v>
      </c>
      <c r="AW4">
        <v>0.65</v>
      </c>
      <c r="AX4">
        <v>0.187435219719296</v>
      </c>
      <c r="AY4">
        <v>0.142222222222222</v>
      </c>
      <c r="AZ4">
        <v>0.75</v>
      </c>
      <c r="BA4">
        <v>0.18363275212859201</v>
      </c>
      <c r="BB4">
        <v>0.54666666666666597</v>
      </c>
      <c r="BC4">
        <v>1.73</v>
      </c>
      <c r="BD4">
        <v>0.47459924614820398</v>
      </c>
      <c r="BE4">
        <v>0.37255555555555497</v>
      </c>
      <c r="BF4">
        <v>1.0629999999999999</v>
      </c>
      <c r="BG4">
        <v>0.23308881367780901</v>
      </c>
      <c r="BH4" t="b">
        <v>0</v>
      </c>
    </row>
    <row r="5" spans="1:61" x14ac:dyDescent="0.25">
      <c r="A5" t="s">
        <v>5</v>
      </c>
      <c r="B5">
        <v>9</v>
      </c>
      <c r="C5">
        <v>1.3580363282703216</v>
      </c>
      <c r="D5">
        <v>0.29487311275297101</v>
      </c>
      <c r="E5">
        <v>81.5</v>
      </c>
      <c r="F5">
        <v>279</v>
      </c>
      <c r="G5">
        <v>0.89601132269686001</v>
      </c>
      <c r="H5">
        <v>8.6280288755946705E-2</v>
      </c>
      <c r="I5">
        <v>0.4</v>
      </c>
      <c r="J5">
        <v>1.8149999999999999</v>
      </c>
      <c r="K5">
        <v>1.4084999999999901</v>
      </c>
      <c r="L5">
        <v>12.802627118644001</v>
      </c>
      <c r="M5">
        <v>1.4749999999999901</v>
      </c>
      <c r="N5">
        <v>1.2017500000000001</v>
      </c>
      <c r="O5">
        <v>5.4251321585902996</v>
      </c>
      <c r="P5">
        <v>1.41</v>
      </c>
      <c r="Q5">
        <v>1.0349999999999899</v>
      </c>
      <c r="R5">
        <v>1.41</v>
      </c>
      <c r="S5">
        <v>0.75</v>
      </c>
      <c r="T5">
        <v>0.47749999999999898</v>
      </c>
      <c r="U5">
        <v>0.75</v>
      </c>
      <c r="V5">
        <v>0.95</v>
      </c>
      <c r="W5">
        <v>0.64849999999999897</v>
      </c>
      <c r="X5">
        <v>0.95</v>
      </c>
      <c r="Y5">
        <v>1.56</v>
      </c>
      <c r="Z5">
        <v>1.12024999999999</v>
      </c>
      <c r="AA5">
        <v>1.56</v>
      </c>
      <c r="AB5">
        <v>2.6150000000000002</v>
      </c>
      <c r="AC5">
        <v>1.6652499999999899</v>
      </c>
      <c r="AD5">
        <v>2.6150000000000002</v>
      </c>
      <c r="AE5">
        <v>3.57</v>
      </c>
      <c r="AF5">
        <v>1.4917499999999999</v>
      </c>
      <c r="AG5">
        <v>3.57</v>
      </c>
      <c r="AH5">
        <v>2.4249999999999998</v>
      </c>
      <c r="AI5">
        <v>1.63174999999999</v>
      </c>
      <c r="AJ5">
        <v>2.4249999999999998</v>
      </c>
      <c r="AK5">
        <v>1.99</v>
      </c>
      <c r="AL5">
        <v>1.4132499999999899</v>
      </c>
      <c r="AM5">
        <v>1.99</v>
      </c>
      <c r="AN5">
        <v>3.57</v>
      </c>
      <c r="AO5">
        <v>5</v>
      </c>
      <c r="AP5">
        <v>48.8009789343755</v>
      </c>
      <c r="AQ5">
        <v>75.9251119017826</v>
      </c>
      <c r="AR5">
        <v>62.363045418078997</v>
      </c>
      <c r="AS5">
        <v>0</v>
      </c>
      <c r="AT5">
        <v>0</v>
      </c>
      <c r="AU5">
        <v>0</v>
      </c>
      <c r="AV5">
        <v>0.263625470729202</v>
      </c>
      <c r="AW5">
        <v>1.145</v>
      </c>
      <c r="AX5">
        <v>0.28173725380801801</v>
      </c>
      <c r="AY5">
        <v>0.190409106470386</v>
      </c>
      <c r="AZ5">
        <v>1.4749999999999901</v>
      </c>
      <c r="BA5">
        <v>0.26930571544546</v>
      </c>
      <c r="BB5">
        <v>0.27166210201985602</v>
      </c>
      <c r="BC5">
        <v>1.105</v>
      </c>
      <c r="BD5">
        <v>0.26279510840694198</v>
      </c>
      <c r="BE5">
        <v>0.25272783293392598</v>
      </c>
      <c r="BF5">
        <v>0.92500000000000004</v>
      </c>
      <c r="BG5">
        <v>0.20055241197982299</v>
      </c>
      <c r="BH5" t="b">
        <v>1</v>
      </c>
      <c r="BI5" t="s">
        <v>155</v>
      </c>
    </row>
    <row r="6" spans="1:61" x14ac:dyDescent="0.25">
      <c r="A6" t="s">
        <v>6</v>
      </c>
      <c r="B6">
        <v>10</v>
      </c>
      <c r="C6">
        <v>1.44697413562593</v>
      </c>
      <c r="D6">
        <v>0.75573079039060997</v>
      </c>
      <c r="E6">
        <v>182.666666666666</v>
      </c>
      <c r="F6">
        <v>215.333333333333</v>
      </c>
      <c r="G6">
        <v>0.84902445718817399</v>
      </c>
      <c r="H6">
        <v>9.92716910802664E-2</v>
      </c>
      <c r="I6">
        <v>0.52333333333333298</v>
      </c>
      <c r="J6">
        <v>1.7266666666666599</v>
      </c>
      <c r="K6">
        <v>1.1861666666666599</v>
      </c>
      <c r="L6">
        <v>7.0466666666666598</v>
      </c>
      <c r="M6">
        <v>0.62333333333333296</v>
      </c>
      <c r="N6">
        <v>0.26266666666666599</v>
      </c>
      <c r="O6">
        <v>0.62333333333333296</v>
      </c>
      <c r="P6">
        <v>1.63</v>
      </c>
      <c r="Q6">
        <v>1.07483333333333</v>
      </c>
      <c r="R6">
        <v>1.63</v>
      </c>
      <c r="S6">
        <v>0.79999999999999905</v>
      </c>
      <c r="T6">
        <v>0.41216666666666602</v>
      </c>
      <c r="U6">
        <v>0.79999999999999905</v>
      </c>
      <c r="V6">
        <v>1.2333333333333301</v>
      </c>
      <c r="W6">
        <v>0.60816666666666597</v>
      </c>
      <c r="X6">
        <v>1.2333333333333301</v>
      </c>
      <c r="Y6">
        <v>1.0733333333333299</v>
      </c>
      <c r="Z6">
        <v>0.539333333333333</v>
      </c>
      <c r="AA6">
        <v>1.0733333333333299</v>
      </c>
      <c r="AB6">
        <v>2.5666666666666602</v>
      </c>
      <c r="AC6">
        <v>1.8964999999999901</v>
      </c>
      <c r="AD6">
        <v>2.5666666666666602</v>
      </c>
      <c r="AE6">
        <v>1.4733333333333301</v>
      </c>
      <c r="AF6">
        <v>0.67049999999999899</v>
      </c>
      <c r="AG6">
        <v>1.4733333333333301</v>
      </c>
      <c r="AH6">
        <v>2.27</v>
      </c>
      <c r="AI6">
        <v>1.53066666666666</v>
      </c>
      <c r="AJ6">
        <v>2.27</v>
      </c>
      <c r="AK6">
        <v>1.72</v>
      </c>
      <c r="AL6">
        <v>1.40099999999999</v>
      </c>
      <c r="AM6">
        <v>1.72</v>
      </c>
      <c r="AN6">
        <v>2.6666666666666599</v>
      </c>
      <c r="AO6">
        <v>3.3333333333333299</v>
      </c>
      <c r="AP6">
        <v>53.109764952905898</v>
      </c>
      <c r="AQ6">
        <v>29.989232517006801</v>
      </c>
      <c r="AR6">
        <v>41.549498734956302</v>
      </c>
      <c r="AS6">
        <v>0</v>
      </c>
      <c r="AT6">
        <v>0</v>
      </c>
      <c r="AU6">
        <v>0</v>
      </c>
      <c r="AV6">
        <v>0.23141509491871501</v>
      </c>
      <c r="AW6">
        <v>1.2333333333333301</v>
      </c>
      <c r="AX6">
        <v>0.21729297149114599</v>
      </c>
      <c r="AY6">
        <v>3.24586376295323E-2</v>
      </c>
      <c r="AZ6">
        <v>0.50333333333333297</v>
      </c>
      <c r="BA6">
        <v>8.3226526329328601E-2</v>
      </c>
      <c r="BB6">
        <v>0.13857467110743099</v>
      </c>
      <c r="BC6">
        <v>1.3</v>
      </c>
      <c r="BD6">
        <v>0.199173620651382</v>
      </c>
      <c r="BE6">
        <v>0.154508471186488</v>
      </c>
      <c r="BF6">
        <v>0.60066666666666602</v>
      </c>
      <c r="BG6">
        <v>0.103162288184368</v>
      </c>
      <c r="BH6" t="b">
        <v>1</v>
      </c>
      <c r="BI6" t="s">
        <v>154</v>
      </c>
    </row>
    <row r="7" spans="1:61" x14ac:dyDescent="0.25">
      <c r="A7" t="s">
        <v>7</v>
      </c>
      <c r="B7">
        <v>7</v>
      </c>
      <c r="C7">
        <v>0.2039762112707548</v>
      </c>
      <c r="D7">
        <v>0.44273262298624599</v>
      </c>
      <c r="E7">
        <v>93</v>
      </c>
      <c r="F7">
        <v>219</v>
      </c>
      <c r="G7">
        <v>0.907511838735369</v>
      </c>
      <c r="H7">
        <v>7.32784458940684E-2</v>
      </c>
      <c r="I7">
        <v>0.625</v>
      </c>
      <c r="J7">
        <v>1.9524999999999899</v>
      </c>
      <c r="K7">
        <v>1.25849999999999</v>
      </c>
      <c r="L7">
        <v>10.404999999999999</v>
      </c>
      <c r="M7">
        <v>1.0375000000000001</v>
      </c>
      <c r="N7">
        <v>0.72874999999999901</v>
      </c>
      <c r="O7">
        <v>2.0776117318435698</v>
      </c>
      <c r="P7">
        <v>2.15</v>
      </c>
      <c r="Q7">
        <v>1.22762499999999</v>
      </c>
      <c r="R7">
        <v>2.15</v>
      </c>
      <c r="S7">
        <v>0.65500000000000003</v>
      </c>
      <c r="T7">
        <v>0.49337499999999901</v>
      </c>
      <c r="U7">
        <v>0.65500000000000003</v>
      </c>
      <c r="V7">
        <v>1.8474999999999999</v>
      </c>
      <c r="W7">
        <v>0.85249999999999904</v>
      </c>
      <c r="X7">
        <v>1.8474999999999999</v>
      </c>
      <c r="Y7">
        <v>1.1099999999999901</v>
      </c>
      <c r="Z7">
        <v>0.71812500000000001</v>
      </c>
      <c r="AA7">
        <v>4.7180555555555497</v>
      </c>
      <c r="AB7">
        <v>2.1850000000000001</v>
      </c>
      <c r="AC7">
        <v>1.6736249999999899</v>
      </c>
      <c r="AD7">
        <v>2.1850000000000001</v>
      </c>
      <c r="AE7">
        <v>1.825</v>
      </c>
      <c r="AF7">
        <v>0.69349999999999901</v>
      </c>
      <c r="AG7">
        <v>1.825</v>
      </c>
      <c r="AH7">
        <v>2.0924999999999998</v>
      </c>
      <c r="AI7">
        <v>1.5676249999999901</v>
      </c>
      <c r="AJ7">
        <v>2.0924999999999998</v>
      </c>
      <c r="AK7">
        <v>2.05249999999999</v>
      </c>
      <c r="AL7">
        <v>1.5963749999999901</v>
      </c>
      <c r="AM7">
        <v>2.05249999999999</v>
      </c>
      <c r="AN7">
        <v>2.9775</v>
      </c>
      <c r="AO7">
        <v>3.25</v>
      </c>
      <c r="AP7">
        <v>53.211469569984502</v>
      </c>
      <c r="AQ7">
        <v>29.5744231539575</v>
      </c>
      <c r="AR7">
        <v>41.392946361970999</v>
      </c>
      <c r="AS7">
        <v>0</v>
      </c>
      <c r="AT7">
        <v>0</v>
      </c>
      <c r="AU7">
        <v>0</v>
      </c>
      <c r="AV7">
        <v>0.25797062084410199</v>
      </c>
      <c r="AW7">
        <v>1.3525</v>
      </c>
      <c r="AX7">
        <v>0.29679839083255799</v>
      </c>
      <c r="AY7">
        <v>0.14150106828756201</v>
      </c>
      <c r="AZ7">
        <v>1.01</v>
      </c>
      <c r="BA7">
        <v>0.20434543228591301</v>
      </c>
      <c r="BB7">
        <v>0.32729110589136901</v>
      </c>
      <c r="BC7">
        <v>1.9624999999999999</v>
      </c>
      <c r="BD7">
        <v>0.36909668895699499</v>
      </c>
      <c r="BE7">
        <v>0.23303469927256301</v>
      </c>
      <c r="BF7">
        <v>0.81674999999999998</v>
      </c>
      <c r="BG7">
        <v>0.14988521152654999</v>
      </c>
      <c r="BH7" t="b">
        <v>1</v>
      </c>
      <c r="BI7" t="s">
        <v>95</v>
      </c>
    </row>
    <row r="8" spans="1:61" x14ac:dyDescent="0.25">
      <c r="A8" t="s">
        <v>8</v>
      </c>
      <c r="B8">
        <v>8</v>
      </c>
      <c r="C8">
        <v>0.26748927767537667</v>
      </c>
      <c r="D8">
        <v>0.44979587333112597</v>
      </c>
      <c r="E8">
        <v>92</v>
      </c>
      <c r="F8">
        <v>184</v>
      </c>
      <c r="G8">
        <v>0.913237558901275</v>
      </c>
      <c r="H8">
        <v>6.2634509595734106E-2</v>
      </c>
      <c r="I8">
        <v>0.78666666666666596</v>
      </c>
      <c r="J8">
        <v>1.42</v>
      </c>
      <c r="K8">
        <v>1.01783333333333</v>
      </c>
      <c r="L8">
        <v>1.42</v>
      </c>
      <c r="M8">
        <v>0.75666666666666604</v>
      </c>
      <c r="N8">
        <v>0.50183333333333302</v>
      </c>
      <c r="O8">
        <v>0.75666666666666604</v>
      </c>
      <c r="P8">
        <v>1.4966666666666599</v>
      </c>
      <c r="Q8">
        <v>1.03616666666666</v>
      </c>
      <c r="R8">
        <v>1.4966666666666599</v>
      </c>
      <c r="S8">
        <v>1.6866666666666601</v>
      </c>
      <c r="T8">
        <v>0.46833333333333299</v>
      </c>
      <c r="U8">
        <v>1.6866666666666601</v>
      </c>
      <c r="V8">
        <v>0.95333333333333303</v>
      </c>
      <c r="W8">
        <v>0.76066666666666605</v>
      </c>
      <c r="X8">
        <v>0.95333333333333303</v>
      </c>
      <c r="Y8">
        <v>0.61</v>
      </c>
      <c r="Z8">
        <v>0.36749999999999899</v>
      </c>
      <c r="AA8">
        <v>0.61</v>
      </c>
      <c r="AB8">
        <v>2.4433333333333298</v>
      </c>
      <c r="AC8">
        <v>1.8883333333333301</v>
      </c>
      <c r="AD8">
        <v>2.4433333333333298</v>
      </c>
      <c r="AE8">
        <v>1.08</v>
      </c>
      <c r="AF8">
        <v>0.73533333333333295</v>
      </c>
      <c r="AG8">
        <v>1.08</v>
      </c>
      <c r="AH8">
        <v>2.4166666666666599</v>
      </c>
      <c r="AI8">
        <v>1.5796666666666599</v>
      </c>
      <c r="AJ8">
        <v>2.4166666666666599</v>
      </c>
      <c r="AK8">
        <v>2.23</v>
      </c>
      <c r="AL8">
        <v>1.9844999999999999</v>
      </c>
      <c r="AM8">
        <v>2.23</v>
      </c>
      <c r="AN8">
        <v>3</v>
      </c>
      <c r="AO8">
        <v>2.6666666666666599</v>
      </c>
      <c r="AP8">
        <v>27.9752610925682</v>
      </c>
      <c r="AQ8">
        <v>35.984961601020501</v>
      </c>
      <c r="AR8">
        <v>31.980111346794398</v>
      </c>
      <c r="AS8">
        <v>0</v>
      </c>
      <c r="AT8">
        <v>0</v>
      </c>
      <c r="AU8">
        <v>0</v>
      </c>
      <c r="AV8">
        <v>0.205871394563472</v>
      </c>
      <c r="AW8">
        <v>0.81333333333333302</v>
      </c>
      <c r="AX8">
        <v>0.21134880707234799</v>
      </c>
      <c r="AY8">
        <v>8.6116093672147398E-2</v>
      </c>
      <c r="AZ8">
        <v>0.60666666666666602</v>
      </c>
      <c r="BA8">
        <v>0.13319452590240899</v>
      </c>
      <c r="BB8">
        <v>0.31779521674140498</v>
      </c>
      <c r="BC8">
        <v>1.2366666666666599</v>
      </c>
      <c r="BD8">
        <v>0.29678212187842401</v>
      </c>
      <c r="BE8">
        <v>0.23653537618335799</v>
      </c>
      <c r="BF8">
        <v>0.65899999999999903</v>
      </c>
      <c r="BG8">
        <v>0.13307120464320801</v>
      </c>
      <c r="BH8" t="b">
        <v>1</v>
      </c>
      <c r="BI8" t="s">
        <v>157</v>
      </c>
    </row>
    <row r="9" spans="1:61" x14ac:dyDescent="0.25">
      <c r="A9" t="s">
        <v>9</v>
      </c>
      <c r="B9">
        <v>9</v>
      </c>
      <c r="C9">
        <v>0.45391181219191779</v>
      </c>
      <c r="D9">
        <v>0.29487311275297101</v>
      </c>
      <c r="E9">
        <v>81.5</v>
      </c>
      <c r="F9">
        <v>279</v>
      </c>
      <c r="G9">
        <v>0.89601132269686001</v>
      </c>
      <c r="H9">
        <v>8.6280288755946705E-2</v>
      </c>
      <c r="I9">
        <v>0.4</v>
      </c>
      <c r="J9">
        <v>1.8149999999999999</v>
      </c>
      <c r="K9">
        <v>1.4084999999999901</v>
      </c>
      <c r="L9">
        <v>12.802627118644001</v>
      </c>
      <c r="M9">
        <v>1.4749999999999901</v>
      </c>
      <c r="N9">
        <v>1.2017500000000001</v>
      </c>
      <c r="O9">
        <v>5.4251321585902996</v>
      </c>
      <c r="P9">
        <v>1.41</v>
      </c>
      <c r="Q9">
        <v>1.0349999999999899</v>
      </c>
      <c r="R9">
        <v>1.41</v>
      </c>
      <c r="S9">
        <v>0.75</v>
      </c>
      <c r="T9">
        <v>0.47749999999999898</v>
      </c>
      <c r="U9">
        <v>0.75</v>
      </c>
      <c r="V9">
        <v>0.95</v>
      </c>
      <c r="W9">
        <v>0.64849999999999897</v>
      </c>
      <c r="X9">
        <v>0.95</v>
      </c>
      <c r="Y9">
        <v>1.56</v>
      </c>
      <c r="Z9">
        <v>1.12024999999999</v>
      </c>
      <c r="AA9">
        <v>1.56</v>
      </c>
      <c r="AB9">
        <v>2.6150000000000002</v>
      </c>
      <c r="AC9">
        <v>1.6652499999999899</v>
      </c>
      <c r="AD9">
        <v>2.6150000000000002</v>
      </c>
      <c r="AE9">
        <v>3.57</v>
      </c>
      <c r="AF9">
        <v>1.4917499999999999</v>
      </c>
      <c r="AG9">
        <v>3.57</v>
      </c>
      <c r="AH9">
        <v>2.4249999999999998</v>
      </c>
      <c r="AI9">
        <v>1.63174999999999</v>
      </c>
      <c r="AJ9">
        <v>2.4249999999999998</v>
      </c>
      <c r="AK9">
        <v>1.99</v>
      </c>
      <c r="AL9">
        <v>1.4132499999999899</v>
      </c>
      <c r="AM9">
        <v>1.99</v>
      </c>
      <c r="AN9">
        <v>3.57</v>
      </c>
      <c r="AO9">
        <v>5</v>
      </c>
      <c r="AP9">
        <v>48.8009789343755</v>
      </c>
      <c r="AQ9">
        <v>75.9251119017826</v>
      </c>
      <c r="AR9">
        <v>62.363045418078997</v>
      </c>
      <c r="AS9">
        <v>0</v>
      </c>
      <c r="AT9">
        <v>0</v>
      </c>
      <c r="AU9">
        <v>0</v>
      </c>
      <c r="AV9">
        <v>0.263625470729202</v>
      </c>
      <c r="AW9">
        <v>1.145</v>
      </c>
      <c r="AX9">
        <v>0.28173725380801801</v>
      </c>
      <c r="AY9">
        <v>0.190409106470386</v>
      </c>
      <c r="AZ9">
        <v>1.4749999999999901</v>
      </c>
      <c r="BA9">
        <v>0.26930571544546</v>
      </c>
      <c r="BB9">
        <v>0.27166210201985602</v>
      </c>
      <c r="BC9">
        <v>1.105</v>
      </c>
      <c r="BD9">
        <v>0.26279510840694198</v>
      </c>
      <c r="BE9">
        <v>0.25272783293392598</v>
      </c>
      <c r="BF9">
        <v>0.92500000000000004</v>
      </c>
      <c r="BG9">
        <v>0.20055241197982299</v>
      </c>
      <c r="BH9" t="b">
        <v>1</v>
      </c>
      <c r="BI9" t="s">
        <v>155</v>
      </c>
    </row>
    <row r="10" spans="1:61" x14ac:dyDescent="0.25">
      <c r="A10" t="s">
        <v>10</v>
      </c>
      <c r="B10">
        <v>7</v>
      </c>
      <c r="C10">
        <v>0.34797534524240803</v>
      </c>
      <c r="D10">
        <v>6.7669172932330796E-2</v>
      </c>
      <c r="E10">
        <v>9</v>
      </c>
      <c r="F10">
        <v>133</v>
      </c>
      <c r="G10">
        <v>0.78333333333333299</v>
      </c>
      <c r="H10">
        <v>0.29210443337956998</v>
      </c>
      <c r="I10">
        <v>0.03</v>
      </c>
      <c r="J10">
        <v>2.13</v>
      </c>
      <c r="K10">
        <v>2.04</v>
      </c>
      <c r="L10">
        <v>2.13</v>
      </c>
      <c r="M10">
        <v>0.72</v>
      </c>
      <c r="N10">
        <v>0.56999999999999895</v>
      </c>
      <c r="O10">
        <v>0.72</v>
      </c>
      <c r="P10">
        <v>1.56</v>
      </c>
      <c r="Q10">
        <v>1.49399999999999</v>
      </c>
      <c r="R10">
        <v>1.56</v>
      </c>
      <c r="S10">
        <v>0.67</v>
      </c>
      <c r="T10">
        <v>0.435999999999999</v>
      </c>
      <c r="U10">
        <v>0.67</v>
      </c>
      <c r="V10">
        <v>2.15</v>
      </c>
      <c r="W10">
        <v>2.0299999999999998</v>
      </c>
      <c r="X10">
        <v>2.15</v>
      </c>
      <c r="Y10">
        <v>0.75</v>
      </c>
      <c r="Z10">
        <v>0.35999999999999899</v>
      </c>
      <c r="AA10">
        <v>0.75</v>
      </c>
      <c r="AB10">
        <v>5</v>
      </c>
      <c r="AC10">
        <v>4.1539999999999901</v>
      </c>
      <c r="AD10">
        <v>75.757575757575694</v>
      </c>
      <c r="AE10">
        <v>3.09</v>
      </c>
      <c r="AF10">
        <v>2.5499999999999901</v>
      </c>
      <c r="AG10">
        <v>3.09</v>
      </c>
      <c r="AH10">
        <v>3.22</v>
      </c>
      <c r="AI10">
        <v>3.004</v>
      </c>
      <c r="AJ10">
        <v>3.22</v>
      </c>
      <c r="AK10">
        <v>3.16</v>
      </c>
      <c r="AL10">
        <v>2.4879999999999902</v>
      </c>
      <c r="AM10">
        <v>3.16</v>
      </c>
      <c r="AN10">
        <v>5</v>
      </c>
      <c r="AO10">
        <v>6</v>
      </c>
      <c r="AP10">
        <v>106.87564750843801</v>
      </c>
      <c r="AQ10">
        <v>96.983520453575395</v>
      </c>
      <c r="AR10">
        <v>101.929583981006</v>
      </c>
      <c r="AS10">
        <v>0</v>
      </c>
      <c r="AT10">
        <v>0</v>
      </c>
      <c r="AU10">
        <v>0</v>
      </c>
      <c r="AV10">
        <v>0.45583333333333298</v>
      </c>
      <c r="AW10">
        <v>1.81</v>
      </c>
      <c r="AX10">
        <v>0.49553772700863902</v>
      </c>
      <c r="AY10">
        <v>0.2225</v>
      </c>
      <c r="AZ10">
        <v>0.54999999999999905</v>
      </c>
      <c r="BA10">
        <v>0.16917077170717101</v>
      </c>
      <c r="BB10">
        <v>0.34083333333333299</v>
      </c>
      <c r="BC10">
        <v>1.21</v>
      </c>
      <c r="BD10">
        <v>0.38571272412970098</v>
      </c>
      <c r="BE10">
        <v>0.55016666666666603</v>
      </c>
      <c r="BF10">
        <v>1.2490000000000001</v>
      </c>
      <c r="BG10">
        <v>0.28556255395661001</v>
      </c>
      <c r="BH10" t="b">
        <v>0</v>
      </c>
    </row>
    <row r="11" spans="1:61" x14ac:dyDescent="0.25">
      <c r="A11" t="s">
        <v>11</v>
      </c>
      <c r="B11">
        <v>10</v>
      </c>
      <c r="C11">
        <f>AVERAGE(C3,C6,C12,C24,C29,C60,C68,C88,C93)</f>
        <v>0.33513769350699479</v>
      </c>
      <c r="D11">
        <v>0.27067669172932302</v>
      </c>
      <c r="E11">
        <v>36</v>
      </c>
      <c r="F11">
        <v>133</v>
      </c>
      <c r="G11">
        <v>0.830277777777777</v>
      </c>
      <c r="H11">
        <v>0.141511960344823</v>
      </c>
      <c r="I11">
        <v>0.03</v>
      </c>
      <c r="J11">
        <v>0.84</v>
      </c>
      <c r="K11">
        <v>0.79149999999999998</v>
      </c>
      <c r="L11">
        <v>16.799999999999901</v>
      </c>
      <c r="M11">
        <v>0.49</v>
      </c>
      <c r="N11">
        <v>0.17099999999999899</v>
      </c>
      <c r="O11">
        <v>0.49</v>
      </c>
      <c r="P11">
        <v>1.88</v>
      </c>
      <c r="Q11">
        <v>1.6989999999999901</v>
      </c>
      <c r="R11">
        <v>1.88</v>
      </c>
      <c r="S11">
        <v>0.66</v>
      </c>
      <c r="T11">
        <v>0.23999999999999899</v>
      </c>
      <c r="U11">
        <v>0.66</v>
      </c>
      <c r="V11">
        <v>0.78</v>
      </c>
      <c r="W11">
        <v>0.16199999999999901</v>
      </c>
      <c r="X11">
        <v>0.78</v>
      </c>
      <c r="Y11">
        <v>1.26</v>
      </c>
      <c r="Z11">
        <v>1.1395</v>
      </c>
      <c r="AA11">
        <v>1.26</v>
      </c>
      <c r="AB11">
        <v>2.52</v>
      </c>
      <c r="AC11">
        <v>2.3650000000000002</v>
      </c>
      <c r="AD11">
        <v>2.52</v>
      </c>
      <c r="AE11">
        <v>0.66</v>
      </c>
      <c r="AF11">
        <v>0.55449999999999999</v>
      </c>
      <c r="AG11">
        <v>0.66</v>
      </c>
      <c r="AH11">
        <v>1.33</v>
      </c>
      <c r="AI11">
        <v>1.0495000000000001</v>
      </c>
      <c r="AJ11">
        <v>1.33</v>
      </c>
      <c r="AK11">
        <v>1.02</v>
      </c>
      <c r="AL11">
        <v>0.745999999999999</v>
      </c>
      <c r="AM11">
        <v>1.02</v>
      </c>
      <c r="AN11">
        <v>2.52</v>
      </c>
      <c r="AO11">
        <v>1</v>
      </c>
      <c r="AP11">
        <v>70.754679365683799</v>
      </c>
      <c r="AQ11">
        <v>40.112789108503897</v>
      </c>
      <c r="AR11">
        <v>55.433734237093802</v>
      </c>
      <c r="AS11">
        <v>0</v>
      </c>
      <c r="AT11">
        <v>0</v>
      </c>
      <c r="AU11">
        <v>0</v>
      </c>
      <c r="AV11">
        <v>0.22648648648648601</v>
      </c>
      <c r="AW11">
        <v>0.69</v>
      </c>
      <c r="AX11">
        <v>0.167351648159524</v>
      </c>
      <c r="AY11">
        <v>4.0270270270270199E-2</v>
      </c>
      <c r="AZ11">
        <v>0.49</v>
      </c>
      <c r="BA11">
        <v>9.2487734365347393E-2</v>
      </c>
      <c r="BB11">
        <v>0.31486486486486398</v>
      </c>
      <c r="BC11">
        <v>1.74</v>
      </c>
      <c r="BD11">
        <v>0.32163116043088302</v>
      </c>
      <c r="BE11">
        <v>0.16251351351351301</v>
      </c>
      <c r="BF11">
        <v>0.497999999999999</v>
      </c>
      <c r="BG11">
        <v>9.7344087848243596E-2</v>
      </c>
      <c r="BH11" t="b">
        <v>0</v>
      </c>
    </row>
    <row r="12" spans="1:61" x14ac:dyDescent="0.25">
      <c r="A12" t="s">
        <v>12</v>
      </c>
      <c r="B12">
        <v>10</v>
      </c>
      <c r="C12">
        <v>0.30726490440706844</v>
      </c>
      <c r="D12">
        <v>0.75573079039060997</v>
      </c>
      <c r="E12">
        <v>182.666666666666</v>
      </c>
      <c r="F12">
        <v>215.333333333333</v>
      </c>
      <c r="G12">
        <v>0.84902445718817399</v>
      </c>
      <c r="H12">
        <v>9.92716910802664E-2</v>
      </c>
      <c r="I12">
        <v>0.52333333333333298</v>
      </c>
      <c r="J12">
        <v>1.7266666666666599</v>
      </c>
      <c r="K12">
        <v>1.1861666666666599</v>
      </c>
      <c r="L12">
        <v>7.0466666666666598</v>
      </c>
      <c r="M12">
        <v>0.62333333333333296</v>
      </c>
      <c r="N12">
        <v>0.26266666666666599</v>
      </c>
      <c r="O12">
        <v>0.62333333333333296</v>
      </c>
      <c r="P12">
        <v>1.63</v>
      </c>
      <c r="Q12">
        <v>1.07483333333333</v>
      </c>
      <c r="R12">
        <v>1.63</v>
      </c>
      <c r="S12">
        <v>0.79999999999999905</v>
      </c>
      <c r="T12">
        <v>0.41216666666666602</v>
      </c>
      <c r="U12">
        <v>0.79999999999999905</v>
      </c>
      <c r="V12">
        <v>1.2333333333333301</v>
      </c>
      <c r="W12">
        <v>0.60816666666666597</v>
      </c>
      <c r="X12">
        <v>1.2333333333333301</v>
      </c>
      <c r="Y12">
        <v>1.0733333333333299</v>
      </c>
      <c r="Z12">
        <v>0.539333333333333</v>
      </c>
      <c r="AA12">
        <v>1.0733333333333299</v>
      </c>
      <c r="AB12">
        <v>2.5666666666666602</v>
      </c>
      <c r="AC12">
        <v>1.8964999999999901</v>
      </c>
      <c r="AD12">
        <v>2.5666666666666602</v>
      </c>
      <c r="AE12">
        <v>1.4733333333333301</v>
      </c>
      <c r="AF12">
        <v>0.67049999999999899</v>
      </c>
      <c r="AG12">
        <v>1.4733333333333301</v>
      </c>
      <c r="AH12">
        <v>2.27</v>
      </c>
      <c r="AI12">
        <v>1.53066666666666</v>
      </c>
      <c r="AJ12">
        <v>2.27</v>
      </c>
      <c r="AK12">
        <v>1.72</v>
      </c>
      <c r="AL12">
        <v>1.40099999999999</v>
      </c>
      <c r="AM12">
        <v>1.72</v>
      </c>
      <c r="AN12">
        <v>2.6666666666666599</v>
      </c>
      <c r="AO12">
        <v>3.3333333333333299</v>
      </c>
      <c r="AP12">
        <v>53.109764952905898</v>
      </c>
      <c r="AQ12">
        <v>29.989232517006801</v>
      </c>
      <c r="AR12">
        <v>41.549498734956302</v>
      </c>
      <c r="AS12">
        <v>0</v>
      </c>
      <c r="AT12">
        <v>0</v>
      </c>
      <c r="AU12">
        <v>0</v>
      </c>
      <c r="AV12">
        <v>0.23141509491871501</v>
      </c>
      <c r="AW12">
        <v>1.2333333333333301</v>
      </c>
      <c r="AX12">
        <v>0.21729297149114599</v>
      </c>
      <c r="AY12">
        <v>3.24586376295323E-2</v>
      </c>
      <c r="AZ12">
        <v>0.50333333333333297</v>
      </c>
      <c r="BA12">
        <v>8.3226526329328601E-2</v>
      </c>
      <c r="BB12">
        <v>0.13857467110743099</v>
      </c>
      <c r="BC12">
        <v>1.3</v>
      </c>
      <c r="BD12">
        <v>0.199173620651382</v>
      </c>
      <c r="BE12">
        <v>0.154508471186488</v>
      </c>
      <c r="BF12">
        <v>0.60066666666666602</v>
      </c>
      <c r="BG12">
        <v>0.103162288184368</v>
      </c>
      <c r="BH12" t="b">
        <v>1</v>
      </c>
      <c r="BI12" t="s">
        <v>154</v>
      </c>
    </row>
    <row r="13" spans="1:61" x14ac:dyDescent="0.25">
      <c r="A13" t="s">
        <v>13</v>
      </c>
      <c r="B13">
        <v>9</v>
      </c>
      <c r="C13">
        <f>AVERAGE(C5,C9,C17,C27,C28,C42,C43,C59,C67,C66,C65,C74,C79,C84,C90)</f>
        <v>0.31372029859110545</v>
      </c>
      <c r="D13">
        <v>0.29487311275297101</v>
      </c>
      <c r="E13">
        <v>81.5</v>
      </c>
      <c r="F13">
        <v>279</v>
      </c>
      <c r="G13">
        <v>0.89601132269686001</v>
      </c>
      <c r="H13">
        <v>8.6280288755946705E-2</v>
      </c>
      <c r="I13">
        <v>0.4</v>
      </c>
      <c r="J13">
        <v>1.8149999999999999</v>
      </c>
      <c r="K13">
        <v>1.4084999999999901</v>
      </c>
      <c r="L13">
        <v>12.802627118644001</v>
      </c>
      <c r="M13">
        <v>1.4749999999999901</v>
      </c>
      <c r="N13">
        <v>1.2017500000000001</v>
      </c>
      <c r="O13">
        <v>5.4251321585902996</v>
      </c>
      <c r="P13">
        <v>1.41</v>
      </c>
      <c r="Q13">
        <v>1.0349999999999899</v>
      </c>
      <c r="R13">
        <v>1.41</v>
      </c>
      <c r="S13">
        <v>0.75</v>
      </c>
      <c r="T13">
        <v>0.47749999999999898</v>
      </c>
      <c r="U13">
        <v>0.75</v>
      </c>
      <c r="V13">
        <v>0.95</v>
      </c>
      <c r="W13">
        <v>0.64849999999999897</v>
      </c>
      <c r="X13">
        <v>0.95</v>
      </c>
      <c r="Y13">
        <v>1.56</v>
      </c>
      <c r="Z13">
        <v>1.12024999999999</v>
      </c>
      <c r="AA13">
        <v>1.56</v>
      </c>
      <c r="AB13">
        <v>2.6150000000000002</v>
      </c>
      <c r="AC13">
        <v>1.6652499999999899</v>
      </c>
      <c r="AD13">
        <v>2.6150000000000002</v>
      </c>
      <c r="AE13">
        <v>3.57</v>
      </c>
      <c r="AF13">
        <v>1.4917499999999999</v>
      </c>
      <c r="AG13">
        <v>3.57</v>
      </c>
      <c r="AH13">
        <v>2.4249999999999998</v>
      </c>
      <c r="AI13">
        <v>1.63174999999999</v>
      </c>
      <c r="AJ13">
        <v>2.4249999999999998</v>
      </c>
      <c r="AK13">
        <v>1.99</v>
      </c>
      <c r="AL13">
        <v>1.4132499999999899</v>
      </c>
      <c r="AM13">
        <v>1.99</v>
      </c>
      <c r="AN13">
        <v>3.57</v>
      </c>
      <c r="AO13">
        <v>5</v>
      </c>
      <c r="AP13">
        <v>48.8009789343755</v>
      </c>
      <c r="AQ13">
        <v>75.9251119017826</v>
      </c>
      <c r="AR13">
        <v>62.363045418078997</v>
      </c>
      <c r="AS13">
        <v>0</v>
      </c>
      <c r="AT13">
        <v>0</v>
      </c>
      <c r="AU13">
        <v>0</v>
      </c>
      <c r="AV13">
        <v>0.263625470729202</v>
      </c>
      <c r="AW13">
        <v>1.145</v>
      </c>
      <c r="AX13">
        <v>0.28173725380801801</v>
      </c>
      <c r="AY13">
        <v>0.190409106470386</v>
      </c>
      <c r="AZ13">
        <v>1.4749999999999901</v>
      </c>
      <c r="BA13">
        <v>0.26930571544546</v>
      </c>
      <c r="BB13">
        <v>0.27166210201985602</v>
      </c>
      <c r="BC13">
        <v>1.105</v>
      </c>
      <c r="BD13">
        <v>0.26279510840694198</v>
      </c>
      <c r="BE13">
        <v>0.25272783293392598</v>
      </c>
      <c r="BF13">
        <v>0.92500000000000004</v>
      </c>
      <c r="BG13">
        <v>0.20055241197982299</v>
      </c>
      <c r="BH13" t="b">
        <v>1</v>
      </c>
      <c r="BI13" t="s">
        <v>155</v>
      </c>
    </row>
    <row r="14" spans="1:61" x14ac:dyDescent="0.25">
      <c r="A14" t="s">
        <v>14</v>
      </c>
      <c r="B14">
        <v>6</v>
      </c>
      <c r="C14">
        <v>1.6220563136509472</v>
      </c>
      <c r="D14">
        <v>0.365242403879593</v>
      </c>
      <c r="E14">
        <v>70.3333333333333</v>
      </c>
      <c r="F14">
        <v>244.333333333333</v>
      </c>
      <c r="G14">
        <v>0.87344363295680305</v>
      </c>
      <c r="H14">
        <v>0.155355663163281</v>
      </c>
      <c r="I14">
        <v>0.15333333333333299</v>
      </c>
      <c r="J14">
        <v>2.1466666666666598</v>
      </c>
      <c r="K14">
        <v>1.59666666666666</v>
      </c>
      <c r="L14">
        <v>3.5958536585365799</v>
      </c>
      <c r="M14">
        <v>0.836666666666666</v>
      </c>
      <c r="N14">
        <v>0.48291666666666599</v>
      </c>
      <c r="O14">
        <v>0.836666666666666</v>
      </c>
      <c r="P14">
        <v>2.5849999999999902</v>
      </c>
      <c r="Q14">
        <v>1.7942499999999999</v>
      </c>
      <c r="R14">
        <v>7.4861111111111098</v>
      </c>
      <c r="S14">
        <v>1.3</v>
      </c>
      <c r="T14">
        <v>0.75208333333333299</v>
      </c>
      <c r="U14">
        <v>1.3</v>
      </c>
      <c r="V14">
        <v>2.62333333333333</v>
      </c>
      <c r="W14">
        <v>1.78291666666666</v>
      </c>
      <c r="X14">
        <v>3.7406615776081402</v>
      </c>
      <c r="Y14">
        <v>0.92833333333333301</v>
      </c>
      <c r="Z14">
        <v>0.58008333333333195</v>
      </c>
      <c r="AA14">
        <v>0.92833333333333301</v>
      </c>
      <c r="AB14">
        <v>3.9849999999999999</v>
      </c>
      <c r="AC14">
        <v>3.4170833333333301</v>
      </c>
      <c r="AD14">
        <v>3.9849999999999999</v>
      </c>
      <c r="AE14">
        <v>2.3416666666666601</v>
      </c>
      <c r="AF14">
        <v>1.59116666666666</v>
      </c>
      <c r="AG14">
        <v>2.3416666666666601</v>
      </c>
      <c r="AH14">
        <v>2.4733333333333301</v>
      </c>
      <c r="AI14">
        <v>1.81083333333333</v>
      </c>
      <c r="AJ14">
        <v>2.4733333333333301</v>
      </c>
      <c r="AK14">
        <v>3.11</v>
      </c>
      <c r="AL14">
        <v>2.32925</v>
      </c>
      <c r="AM14">
        <v>3.11</v>
      </c>
      <c r="AN14">
        <v>4.1183333333333296</v>
      </c>
      <c r="AO14">
        <v>4.8333333333333304</v>
      </c>
      <c r="AP14">
        <v>19.539284458780799</v>
      </c>
      <c r="AQ14">
        <v>17.5303054881701</v>
      </c>
      <c r="AR14">
        <v>18.534794973475499</v>
      </c>
      <c r="AS14">
        <v>0</v>
      </c>
      <c r="AT14">
        <v>0</v>
      </c>
      <c r="AU14">
        <v>0</v>
      </c>
      <c r="AV14">
        <v>0.30138238339685702</v>
      </c>
      <c r="AW14">
        <v>1.7366666666666599</v>
      </c>
      <c r="AX14">
        <v>0.36138833947599203</v>
      </c>
      <c r="AY14">
        <v>8.4895501299694906E-2</v>
      </c>
      <c r="AZ14">
        <v>0.70833333333333304</v>
      </c>
      <c r="BA14">
        <v>0.158210954839337</v>
      </c>
      <c r="BB14">
        <v>0.31139229503168803</v>
      </c>
      <c r="BC14">
        <v>2.0716666666666601</v>
      </c>
      <c r="BD14">
        <v>0.43238702586803501</v>
      </c>
      <c r="BE14">
        <v>0.29700782821770799</v>
      </c>
      <c r="BF14">
        <v>1.0165</v>
      </c>
      <c r="BG14">
        <v>0.21599337389041701</v>
      </c>
      <c r="BH14" t="b">
        <v>1</v>
      </c>
      <c r="BI14" t="s">
        <v>156</v>
      </c>
    </row>
    <row r="15" spans="1:61" x14ac:dyDescent="0.25">
      <c r="A15" t="s">
        <v>15</v>
      </c>
      <c r="B15">
        <v>9</v>
      </c>
      <c r="C15">
        <f>AVERAGE(C5,C9,C17,C27,C28,C42,C43,C59,C67,C66,C65,C74,C79,C84,C90)</f>
        <v>0.31372029859110545</v>
      </c>
      <c r="D15">
        <v>0.29487311275297101</v>
      </c>
      <c r="E15">
        <v>81.5</v>
      </c>
      <c r="F15">
        <v>279</v>
      </c>
      <c r="G15">
        <v>0.89601132269686001</v>
      </c>
      <c r="H15">
        <v>8.6280288755946705E-2</v>
      </c>
      <c r="I15">
        <v>0.4</v>
      </c>
      <c r="J15">
        <v>1.8149999999999999</v>
      </c>
      <c r="K15">
        <v>1.4084999999999901</v>
      </c>
      <c r="L15">
        <v>12.802627118644001</v>
      </c>
      <c r="M15">
        <v>1.4749999999999901</v>
      </c>
      <c r="N15">
        <v>1.2017500000000001</v>
      </c>
      <c r="O15">
        <v>5.4251321585902996</v>
      </c>
      <c r="P15">
        <v>1.41</v>
      </c>
      <c r="Q15">
        <v>1.0349999999999899</v>
      </c>
      <c r="R15">
        <v>1.41</v>
      </c>
      <c r="S15">
        <v>0.75</v>
      </c>
      <c r="T15">
        <v>0.47749999999999898</v>
      </c>
      <c r="U15">
        <v>0.75</v>
      </c>
      <c r="V15">
        <v>0.95</v>
      </c>
      <c r="W15">
        <v>0.64849999999999897</v>
      </c>
      <c r="X15">
        <v>0.95</v>
      </c>
      <c r="Y15">
        <v>1.56</v>
      </c>
      <c r="Z15">
        <v>1.12024999999999</v>
      </c>
      <c r="AA15">
        <v>1.56</v>
      </c>
      <c r="AB15">
        <v>2.6150000000000002</v>
      </c>
      <c r="AC15">
        <v>1.6652499999999899</v>
      </c>
      <c r="AD15">
        <v>2.6150000000000002</v>
      </c>
      <c r="AE15">
        <v>3.57</v>
      </c>
      <c r="AF15">
        <v>1.4917499999999999</v>
      </c>
      <c r="AG15">
        <v>3.57</v>
      </c>
      <c r="AH15">
        <v>2.4249999999999998</v>
      </c>
      <c r="AI15">
        <v>1.63174999999999</v>
      </c>
      <c r="AJ15">
        <v>2.4249999999999998</v>
      </c>
      <c r="AK15">
        <v>1.99</v>
      </c>
      <c r="AL15">
        <v>1.4132499999999899</v>
      </c>
      <c r="AM15">
        <v>1.99</v>
      </c>
      <c r="AN15">
        <v>3.57</v>
      </c>
      <c r="AO15">
        <v>5</v>
      </c>
      <c r="AP15">
        <v>48.8009789343755</v>
      </c>
      <c r="AQ15">
        <v>75.9251119017826</v>
      </c>
      <c r="AR15">
        <v>62.363045418078997</v>
      </c>
      <c r="AS15">
        <v>0</v>
      </c>
      <c r="AT15">
        <v>0</v>
      </c>
      <c r="AU15">
        <v>0</v>
      </c>
      <c r="AV15">
        <v>0.263625470729202</v>
      </c>
      <c r="AW15">
        <v>1.145</v>
      </c>
      <c r="AX15">
        <v>0.28173725380801801</v>
      </c>
      <c r="AY15">
        <v>0.190409106470386</v>
      </c>
      <c r="AZ15">
        <v>1.4749999999999901</v>
      </c>
      <c r="BA15">
        <v>0.26930571544546</v>
      </c>
      <c r="BB15">
        <v>0.27166210201985602</v>
      </c>
      <c r="BC15">
        <v>1.105</v>
      </c>
      <c r="BD15">
        <v>0.26279510840694198</v>
      </c>
      <c r="BE15">
        <v>0.25272783293392598</v>
      </c>
      <c r="BF15">
        <v>0.92500000000000004</v>
      </c>
      <c r="BG15">
        <v>0.20055241197982299</v>
      </c>
      <c r="BH15" t="b">
        <v>1</v>
      </c>
      <c r="BI15" t="s">
        <v>155</v>
      </c>
    </row>
    <row r="16" spans="1:61" x14ac:dyDescent="0.25">
      <c r="A16" t="s">
        <v>16</v>
      </c>
      <c r="B16">
        <v>7</v>
      </c>
      <c r="C16">
        <v>0.34331018496635263</v>
      </c>
      <c r="D16">
        <v>0.40909090909090901</v>
      </c>
      <c r="E16">
        <v>81</v>
      </c>
      <c r="F16">
        <v>198</v>
      </c>
      <c r="G16">
        <v>0.88617283950617198</v>
      </c>
      <c r="H16">
        <v>0.109539580760044</v>
      </c>
      <c r="I16">
        <v>0.03</v>
      </c>
      <c r="J16">
        <v>2.94</v>
      </c>
      <c r="K16">
        <v>2.2429999999999999</v>
      </c>
      <c r="L16">
        <v>36.75</v>
      </c>
      <c r="M16">
        <v>2.3199999999999998</v>
      </c>
      <c r="N16">
        <v>2.133</v>
      </c>
      <c r="O16">
        <v>6.4804469273742997</v>
      </c>
      <c r="P16">
        <v>1.49</v>
      </c>
      <c r="Q16">
        <v>1.1819999999999899</v>
      </c>
      <c r="R16">
        <v>1.49</v>
      </c>
      <c r="S16">
        <v>0.54</v>
      </c>
      <c r="T16">
        <v>0.32</v>
      </c>
      <c r="U16">
        <v>0.54</v>
      </c>
      <c r="V16">
        <v>1.38</v>
      </c>
      <c r="W16">
        <v>1.0479999999999901</v>
      </c>
      <c r="X16">
        <v>1.38</v>
      </c>
      <c r="Y16">
        <v>2.79</v>
      </c>
      <c r="Z16">
        <v>2.3210000000000002</v>
      </c>
      <c r="AA16">
        <v>17.2222222222222</v>
      </c>
      <c r="AB16">
        <v>1.38</v>
      </c>
      <c r="AC16">
        <v>0.752999999999999</v>
      </c>
      <c r="AD16">
        <v>1.38</v>
      </c>
      <c r="AE16">
        <v>1.49</v>
      </c>
      <c r="AF16">
        <v>0.47899999999999898</v>
      </c>
      <c r="AG16">
        <v>1.49</v>
      </c>
      <c r="AH16">
        <v>1.94</v>
      </c>
      <c r="AI16">
        <v>1.47</v>
      </c>
      <c r="AJ16">
        <v>1.94</v>
      </c>
      <c r="AK16">
        <v>1.88</v>
      </c>
      <c r="AL16">
        <v>0.91799999999999804</v>
      </c>
      <c r="AM16">
        <v>1.88</v>
      </c>
      <c r="AN16">
        <v>2.94</v>
      </c>
      <c r="AO16">
        <v>3</v>
      </c>
      <c r="AP16">
        <v>5.5225889641156698</v>
      </c>
      <c r="AQ16">
        <v>5.41467487627658</v>
      </c>
      <c r="AR16">
        <v>5.4686319201961302</v>
      </c>
      <c r="AS16">
        <v>0</v>
      </c>
      <c r="AT16">
        <v>0</v>
      </c>
      <c r="AU16">
        <v>0</v>
      </c>
      <c r="AV16">
        <v>0.37333333333333302</v>
      </c>
      <c r="AW16">
        <v>1.6</v>
      </c>
      <c r="AX16">
        <v>0.376334094160163</v>
      </c>
      <c r="AY16">
        <v>0.388974358974358</v>
      </c>
      <c r="AZ16">
        <v>2.3199999999999998</v>
      </c>
      <c r="BA16">
        <v>0.46686787716349998</v>
      </c>
      <c r="BB16">
        <v>0.18512820512820499</v>
      </c>
      <c r="BC16">
        <v>0.869999999999999</v>
      </c>
      <c r="BD16">
        <v>0.214444682902103</v>
      </c>
      <c r="BE16">
        <v>0.246282051282051</v>
      </c>
      <c r="BF16">
        <v>0.86</v>
      </c>
      <c r="BG16">
        <v>0.17954792927965699</v>
      </c>
      <c r="BH16" t="b">
        <v>0</v>
      </c>
    </row>
    <row r="17" spans="1:61" x14ac:dyDescent="0.25">
      <c r="A17" t="s">
        <v>17</v>
      </c>
      <c r="B17">
        <v>9</v>
      </c>
      <c r="C17">
        <v>0.4200961670111481</v>
      </c>
      <c r="D17">
        <v>0.48727272727272702</v>
      </c>
      <c r="E17">
        <v>134</v>
      </c>
      <c r="F17">
        <v>275</v>
      </c>
      <c r="G17">
        <v>0.89029850746268602</v>
      </c>
      <c r="H17">
        <v>8.9105330072783095E-2</v>
      </c>
      <c r="I17">
        <v>0.03</v>
      </c>
      <c r="J17">
        <v>2.94</v>
      </c>
      <c r="K17">
        <v>2.1829999999999998</v>
      </c>
      <c r="L17">
        <v>24.915254237288099</v>
      </c>
      <c r="M17">
        <v>2.3199999999999998</v>
      </c>
      <c r="N17">
        <v>2.0365000000000002</v>
      </c>
      <c r="O17">
        <v>10.2202643171806</v>
      </c>
      <c r="P17">
        <v>1.49</v>
      </c>
      <c r="Q17">
        <v>1.0629999999999999</v>
      </c>
      <c r="R17">
        <v>1.49</v>
      </c>
      <c r="S17">
        <v>0.69</v>
      </c>
      <c r="T17">
        <v>0.39</v>
      </c>
      <c r="U17">
        <v>0.69</v>
      </c>
      <c r="V17">
        <v>1.38</v>
      </c>
      <c r="W17">
        <v>0.82299999999999895</v>
      </c>
      <c r="X17">
        <v>1.38</v>
      </c>
      <c r="Y17">
        <v>2.79</v>
      </c>
      <c r="Z17">
        <v>2.1719999999999899</v>
      </c>
      <c r="AA17">
        <v>2.79</v>
      </c>
      <c r="AB17">
        <v>2.16</v>
      </c>
      <c r="AC17">
        <v>1.5395000000000001</v>
      </c>
      <c r="AD17">
        <v>2.16</v>
      </c>
      <c r="AE17">
        <v>3.81</v>
      </c>
      <c r="AF17">
        <v>2.343</v>
      </c>
      <c r="AG17">
        <v>3.81</v>
      </c>
      <c r="AH17">
        <v>2.2000000000000002</v>
      </c>
      <c r="AI17">
        <v>1.45749999999999</v>
      </c>
      <c r="AJ17">
        <v>2.2000000000000002</v>
      </c>
      <c r="AK17">
        <v>2.62</v>
      </c>
      <c r="AL17">
        <v>1.51449999999999</v>
      </c>
      <c r="AM17">
        <v>2.62</v>
      </c>
      <c r="AN17">
        <v>3.81</v>
      </c>
      <c r="AO17">
        <v>7</v>
      </c>
      <c r="AP17">
        <v>15.033388162019801</v>
      </c>
      <c r="AQ17">
        <v>28.1514659975923</v>
      </c>
      <c r="AR17">
        <v>21.592427079806001</v>
      </c>
      <c r="AS17">
        <v>0</v>
      </c>
      <c r="AT17">
        <v>0</v>
      </c>
      <c r="AU17">
        <v>0</v>
      </c>
      <c r="AV17">
        <v>0.31551181102362202</v>
      </c>
      <c r="AW17">
        <v>1.6</v>
      </c>
      <c r="AX17">
        <v>0.33020563543271497</v>
      </c>
      <c r="AY17">
        <v>0.30299212598425201</v>
      </c>
      <c r="AZ17">
        <v>2.3199999999999998</v>
      </c>
      <c r="BA17">
        <v>0.39499489672897897</v>
      </c>
      <c r="BB17">
        <v>0.14897637795275501</v>
      </c>
      <c r="BC17">
        <v>0.88</v>
      </c>
      <c r="BD17">
        <v>0.212112860486419</v>
      </c>
      <c r="BE17">
        <v>0.21571653543307001</v>
      </c>
      <c r="BF17">
        <v>0.85199999999999998</v>
      </c>
      <c r="BG17">
        <v>0.167913874513509</v>
      </c>
      <c r="BH17" t="b">
        <v>0</v>
      </c>
    </row>
    <row r="18" spans="1:61" x14ac:dyDescent="0.25">
      <c r="A18" t="s">
        <v>18</v>
      </c>
      <c r="B18">
        <v>6</v>
      </c>
      <c r="C18">
        <v>0.50281788635253899</v>
      </c>
      <c r="D18">
        <v>0.365242403879593</v>
      </c>
      <c r="E18">
        <v>70.3333333333333</v>
      </c>
      <c r="F18">
        <v>244.333333333333</v>
      </c>
      <c r="G18">
        <v>0.87344363295680305</v>
      </c>
      <c r="H18">
        <v>0.155355663163281</v>
      </c>
      <c r="I18">
        <v>0.15333333333333299</v>
      </c>
      <c r="J18">
        <v>2.1466666666666598</v>
      </c>
      <c r="K18">
        <v>1.59666666666666</v>
      </c>
      <c r="L18">
        <v>3.5958536585365799</v>
      </c>
      <c r="M18">
        <v>0.836666666666666</v>
      </c>
      <c r="N18">
        <v>0.48291666666666599</v>
      </c>
      <c r="O18">
        <v>0.836666666666666</v>
      </c>
      <c r="P18">
        <v>2.5849999999999902</v>
      </c>
      <c r="Q18">
        <v>1.7942499999999999</v>
      </c>
      <c r="R18">
        <v>7.4861111111111098</v>
      </c>
      <c r="S18">
        <v>1.3</v>
      </c>
      <c r="T18">
        <v>0.75208333333333299</v>
      </c>
      <c r="U18">
        <v>1.3</v>
      </c>
      <c r="V18">
        <v>2.62333333333333</v>
      </c>
      <c r="W18">
        <v>1.78291666666666</v>
      </c>
      <c r="X18">
        <v>3.7406615776081402</v>
      </c>
      <c r="Y18">
        <v>0.92833333333333301</v>
      </c>
      <c r="Z18">
        <v>0.58008333333333195</v>
      </c>
      <c r="AA18">
        <v>0.92833333333333301</v>
      </c>
      <c r="AB18">
        <v>3.9849999999999999</v>
      </c>
      <c r="AC18">
        <v>3.4170833333333301</v>
      </c>
      <c r="AD18">
        <v>3.9849999999999999</v>
      </c>
      <c r="AE18">
        <v>2.3416666666666601</v>
      </c>
      <c r="AF18">
        <v>1.59116666666666</v>
      </c>
      <c r="AG18">
        <v>2.3416666666666601</v>
      </c>
      <c r="AH18">
        <v>2.4733333333333301</v>
      </c>
      <c r="AI18">
        <v>1.81083333333333</v>
      </c>
      <c r="AJ18">
        <v>2.4733333333333301</v>
      </c>
      <c r="AK18">
        <v>3.11</v>
      </c>
      <c r="AL18">
        <v>2.32925</v>
      </c>
      <c r="AM18">
        <v>3.11</v>
      </c>
      <c r="AN18">
        <v>4.1183333333333296</v>
      </c>
      <c r="AO18">
        <v>4.8333333333333304</v>
      </c>
      <c r="AP18">
        <v>19.539284458780799</v>
      </c>
      <c r="AQ18">
        <v>17.5303054881701</v>
      </c>
      <c r="AR18">
        <v>18.534794973475499</v>
      </c>
      <c r="AS18">
        <v>0</v>
      </c>
      <c r="AT18">
        <v>0</v>
      </c>
      <c r="AU18">
        <v>0</v>
      </c>
      <c r="AV18">
        <v>0.30138238339685702</v>
      </c>
      <c r="AW18">
        <v>1.7366666666666599</v>
      </c>
      <c r="AX18">
        <v>0.36138833947599203</v>
      </c>
      <c r="AY18">
        <v>8.4895501299694906E-2</v>
      </c>
      <c r="AZ18">
        <v>0.70833333333333304</v>
      </c>
      <c r="BA18">
        <v>0.158210954839337</v>
      </c>
      <c r="BB18">
        <v>0.31139229503168803</v>
      </c>
      <c r="BC18">
        <v>2.0716666666666601</v>
      </c>
      <c r="BD18">
        <v>0.43238702586803501</v>
      </c>
      <c r="BE18">
        <v>0.29700782821770799</v>
      </c>
      <c r="BF18">
        <v>1.0165</v>
      </c>
      <c r="BG18">
        <v>0.21599337389041701</v>
      </c>
      <c r="BH18" t="b">
        <v>1</v>
      </c>
      <c r="BI18" t="s">
        <v>156</v>
      </c>
    </row>
    <row r="19" spans="1:61" x14ac:dyDescent="0.25">
      <c r="A19" t="s">
        <v>19</v>
      </c>
      <c r="B19">
        <v>8</v>
      </c>
      <c r="C19">
        <v>0.50276452619699596</v>
      </c>
      <c r="D19">
        <v>0.44979587333112597</v>
      </c>
      <c r="E19">
        <v>92</v>
      </c>
      <c r="F19">
        <v>184</v>
      </c>
      <c r="G19">
        <v>0.913237558901275</v>
      </c>
      <c r="H19">
        <v>6.2634509595734106E-2</v>
      </c>
      <c r="I19">
        <v>0.78666666666666596</v>
      </c>
      <c r="J19">
        <v>1.42</v>
      </c>
      <c r="K19">
        <v>1.01783333333333</v>
      </c>
      <c r="L19">
        <v>1.42</v>
      </c>
      <c r="M19">
        <v>0.75666666666666604</v>
      </c>
      <c r="N19">
        <v>0.50183333333333302</v>
      </c>
      <c r="O19">
        <v>0.75666666666666604</v>
      </c>
      <c r="P19">
        <v>1.4966666666666599</v>
      </c>
      <c r="Q19">
        <v>1.03616666666666</v>
      </c>
      <c r="R19">
        <v>1.4966666666666599</v>
      </c>
      <c r="S19">
        <v>1.6866666666666601</v>
      </c>
      <c r="T19">
        <v>0.46833333333333299</v>
      </c>
      <c r="U19">
        <v>1.6866666666666601</v>
      </c>
      <c r="V19">
        <v>0.95333333333333303</v>
      </c>
      <c r="W19">
        <v>0.76066666666666605</v>
      </c>
      <c r="X19">
        <v>0.95333333333333303</v>
      </c>
      <c r="Y19">
        <v>0.61</v>
      </c>
      <c r="Z19">
        <v>0.36749999999999899</v>
      </c>
      <c r="AA19">
        <v>0.61</v>
      </c>
      <c r="AB19">
        <v>2.4433333333333298</v>
      </c>
      <c r="AC19">
        <v>1.8883333333333301</v>
      </c>
      <c r="AD19">
        <v>2.4433333333333298</v>
      </c>
      <c r="AE19">
        <v>1.08</v>
      </c>
      <c r="AF19">
        <v>0.73533333333333295</v>
      </c>
      <c r="AG19">
        <v>1.08</v>
      </c>
      <c r="AH19">
        <v>2.4166666666666599</v>
      </c>
      <c r="AI19">
        <v>1.5796666666666599</v>
      </c>
      <c r="AJ19">
        <v>2.4166666666666599</v>
      </c>
      <c r="AK19">
        <v>2.23</v>
      </c>
      <c r="AL19">
        <v>1.9844999999999999</v>
      </c>
      <c r="AM19">
        <v>2.23</v>
      </c>
      <c r="AN19">
        <v>3</v>
      </c>
      <c r="AO19">
        <v>2.6666666666666599</v>
      </c>
      <c r="AP19">
        <v>27.9752610925682</v>
      </c>
      <c r="AQ19">
        <v>35.984961601020501</v>
      </c>
      <c r="AR19">
        <v>31.980111346794398</v>
      </c>
      <c r="AS19">
        <v>0</v>
      </c>
      <c r="AT19">
        <v>0</v>
      </c>
      <c r="AU19">
        <v>0</v>
      </c>
      <c r="AV19">
        <v>0.205871394563472</v>
      </c>
      <c r="AW19">
        <v>0.81333333333333302</v>
      </c>
      <c r="AX19">
        <v>0.21134880707234799</v>
      </c>
      <c r="AY19">
        <v>8.6116093672147398E-2</v>
      </c>
      <c r="AZ19">
        <v>0.60666666666666602</v>
      </c>
      <c r="BA19">
        <v>0.13319452590240899</v>
      </c>
      <c r="BB19">
        <v>0.31779521674140498</v>
      </c>
      <c r="BC19">
        <v>1.2366666666666599</v>
      </c>
      <c r="BD19">
        <v>0.29678212187842401</v>
      </c>
      <c r="BE19">
        <v>0.23653537618335799</v>
      </c>
      <c r="BF19">
        <v>0.65899999999999903</v>
      </c>
      <c r="BG19">
        <v>0.13307120464320801</v>
      </c>
      <c r="BH19" t="b">
        <v>1</v>
      </c>
      <c r="BI19" t="s">
        <v>157</v>
      </c>
    </row>
    <row r="20" spans="1:61" x14ac:dyDescent="0.25">
      <c r="A20" t="s">
        <v>20</v>
      </c>
      <c r="B20">
        <v>9</v>
      </c>
      <c r="C20">
        <f>AVERAGE(C5,C9,C17,C27,C28,C42,C43,C59,C67,C66,C65,C74,C79,C84,C90)</f>
        <v>0.31372029859110545</v>
      </c>
      <c r="D20">
        <v>0.29487311275297101</v>
      </c>
      <c r="E20">
        <v>81.5</v>
      </c>
      <c r="F20">
        <v>279</v>
      </c>
      <c r="G20">
        <v>0.89601132269686001</v>
      </c>
      <c r="H20">
        <v>8.6280288755946705E-2</v>
      </c>
      <c r="I20">
        <v>0.4</v>
      </c>
      <c r="J20">
        <v>1.8149999999999999</v>
      </c>
      <c r="K20">
        <v>1.4084999999999901</v>
      </c>
      <c r="L20">
        <v>12.802627118644001</v>
      </c>
      <c r="M20">
        <v>1.4749999999999901</v>
      </c>
      <c r="N20">
        <v>1.2017500000000001</v>
      </c>
      <c r="O20">
        <v>5.4251321585902996</v>
      </c>
      <c r="P20">
        <v>1.41</v>
      </c>
      <c r="Q20">
        <v>1.0349999999999899</v>
      </c>
      <c r="R20">
        <v>1.41</v>
      </c>
      <c r="S20">
        <v>0.75</v>
      </c>
      <c r="T20">
        <v>0.47749999999999898</v>
      </c>
      <c r="U20">
        <v>0.75</v>
      </c>
      <c r="V20">
        <v>0.95</v>
      </c>
      <c r="W20">
        <v>0.64849999999999897</v>
      </c>
      <c r="X20">
        <v>0.95</v>
      </c>
      <c r="Y20">
        <v>1.56</v>
      </c>
      <c r="Z20">
        <v>1.12024999999999</v>
      </c>
      <c r="AA20">
        <v>1.56</v>
      </c>
      <c r="AB20">
        <v>2.6150000000000002</v>
      </c>
      <c r="AC20">
        <v>1.6652499999999899</v>
      </c>
      <c r="AD20">
        <v>2.6150000000000002</v>
      </c>
      <c r="AE20">
        <v>3.57</v>
      </c>
      <c r="AF20">
        <v>1.4917499999999999</v>
      </c>
      <c r="AG20">
        <v>3.57</v>
      </c>
      <c r="AH20">
        <v>2.4249999999999998</v>
      </c>
      <c r="AI20">
        <v>1.63174999999999</v>
      </c>
      <c r="AJ20">
        <v>2.4249999999999998</v>
      </c>
      <c r="AK20">
        <v>1.99</v>
      </c>
      <c r="AL20">
        <v>1.4132499999999899</v>
      </c>
      <c r="AM20">
        <v>1.99</v>
      </c>
      <c r="AN20">
        <v>3.57</v>
      </c>
      <c r="AO20">
        <v>5</v>
      </c>
      <c r="AP20">
        <v>48.8009789343755</v>
      </c>
      <c r="AQ20">
        <v>75.9251119017826</v>
      </c>
      <c r="AR20">
        <v>62.363045418078997</v>
      </c>
      <c r="AS20">
        <v>0</v>
      </c>
      <c r="AT20">
        <v>0</v>
      </c>
      <c r="AU20">
        <v>0</v>
      </c>
      <c r="AV20">
        <v>0.263625470729202</v>
      </c>
      <c r="AW20">
        <v>1.145</v>
      </c>
      <c r="AX20">
        <v>0.28173725380801801</v>
      </c>
      <c r="AY20">
        <v>0.190409106470386</v>
      </c>
      <c r="AZ20">
        <v>1.4749999999999901</v>
      </c>
      <c r="BA20">
        <v>0.26930571544546</v>
      </c>
      <c r="BB20">
        <v>0.27166210201985602</v>
      </c>
      <c r="BC20">
        <v>1.105</v>
      </c>
      <c r="BD20">
        <v>0.26279510840694198</v>
      </c>
      <c r="BE20">
        <v>0.25272783293392598</v>
      </c>
      <c r="BF20">
        <v>0.92500000000000004</v>
      </c>
      <c r="BG20">
        <v>0.20055241197982299</v>
      </c>
      <c r="BH20" t="b">
        <v>1</v>
      </c>
      <c r="BI20" t="s">
        <v>155</v>
      </c>
    </row>
    <row r="21" spans="1:61" x14ac:dyDescent="0.25">
      <c r="A21" t="s">
        <v>21</v>
      </c>
      <c r="B21">
        <v>8</v>
      </c>
      <c r="C21">
        <v>0.18282768674577971</v>
      </c>
      <c r="D21">
        <v>0.44979587333112597</v>
      </c>
      <c r="E21">
        <v>92</v>
      </c>
      <c r="F21">
        <v>184</v>
      </c>
      <c r="G21">
        <v>0.913237558901275</v>
      </c>
      <c r="H21">
        <v>6.2634509595734106E-2</v>
      </c>
      <c r="I21">
        <v>0.78666666666666596</v>
      </c>
      <c r="J21">
        <v>1.42</v>
      </c>
      <c r="K21">
        <v>1.01783333333333</v>
      </c>
      <c r="L21">
        <v>1.42</v>
      </c>
      <c r="M21">
        <v>0.75666666666666604</v>
      </c>
      <c r="N21">
        <v>0.50183333333333302</v>
      </c>
      <c r="O21">
        <v>0.75666666666666604</v>
      </c>
      <c r="P21">
        <v>1.4966666666666599</v>
      </c>
      <c r="Q21">
        <v>1.03616666666666</v>
      </c>
      <c r="R21">
        <v>1.4966666666666599</v>
      </c>
      <c r="S21">
        <v>1.6866666666666601</v>
      </c>
      <c r="T21">
        <v>0.46833333333333299</v>
      </c>
      <c r="U21">
        <v>1.6866666666666601</v>
      </c>
      <c r="V21">
        <v>0.95333333333333303</v>
      </c>
      <c r="W21">
        <v>0.76066666666666605</v>
      </c>
      <c r="X21">
        <v>0.95333333333333303</v>
      </c>
      <c r="Y21">
        <v>0.61</v>
      </c>
      <c r="Z21">
        <v>0.36749999999999899</v>
      </c>
      <c r="AA21">
        <v>0.61</v>
      </c>
      <c r="AB21">
        <v>2.4433333333333298</v>
      </c>
      <c r="AC21">
        <v>1.8883333333333301</v>
      </c>
      <c r="AD21">
        <v>2.4433333333333298</v>
      </c>
      <c r="AE21">
        <v>1.08</v>
      </c>
      <c r="AF21">
        <v>0.73533333333333295</v>
      </c>
      <c r="AG21">
        <v>1.08</v>
      </c>
      <c r="AH21">
        <v>2.4166666666666599</v>
      </c>
      <c r="AI21">
        <v>1.5796666666666599</v>
      </c>
      <c r="AJ21">
        <v>2.4166666666666599</v>
      </c>
      <c r="AK21">
        <v>2.23</v>
      </c>
      <c r="AL21">
        <v>1.9844999999999999</v>
      </c>
      <c r="AM21">
        <v>2.23</v>
      </c>
      <c r="AN21">
        <v>3</v>
      </c>
      <c r="AO21">
        <v>2.6666666666666599</v>
      </c>
      <c r="AP21">
        <v>27.9752610925682</v>
      </c>
      <c r="AQ21">
        <v>35.984961601020501</v>
      </c>
      <c r="AR21">
        <v>31.980111346794398</v>
      </c>
      <c r="AS21">
        <v>0</v>
      </c>
      <c r="AT21">
        <v>0</v>
      </c>
      <c r="AU21">
        <v>0</v>
      </c>
      <c r="AV21">
        <v>0.205871394563472</v>
      </c>
      <c r="AW21">
        <v>0.81333333333333302</v>
      </c>
      <c r="AX21">
        <v>0.21134880707234799</v>
      </c>
      <c r="AY21">
        <v>8.6116093672147398E-2</v>
      </c>
      <c r="AZ21">
        <v>0.60666666666666602</v>
      </c>
      <c r="BA21">
        <v>0.13319452590240899</v>
      </c>
      <c r="BB21">
        <v>0.31779521674140498</v>
      </c>
      <c r="BC21">
        <v>1.2366666666666599</v>
      </c>
      <c r="BD21">
        <v>0.29678212187842401</v>
      </c>
      <c r="BE21">
        <v>0.23653537618335799</v>
      </c>
      <c r="BF21">
        <v>0.65899999999999903</v>
      </c>
      <c r="BG21">
        <v>0.13307120464320801</v>
      </c>
      <c r="BH21" t="b">
        <v>1</v>
      </c>
      <c r="BI21" t="s">
        <v>157</v>
      </c>
    </row>
    <row r="22" spans="1:61" x14ac:dyDescent="0.25">
      <c r="A22" t="s">
        <v>22</v>
      </c>
      <c r="B22">
        <v>7</v>
      </c>
      <c r="C22">
        <v>6.2867264581613513E-2</v>
      </c>
      <c r="D22">
        <v>1</v>
      </c>
      <c r="E22">
        <v>193</v>
      </c>
      <c r="F22">
        <v>193</v>
      </c>
      <c r="G22">
        <v>0.84917098445595796</v>
      </c>
      <c r="H22">
        <v>7.9551717897101096E-2</v>
      </c>
      <c r="I22">
        <v>0.77</v>
      </c>
      <c r="J22">
        <v>2.16</v>
      </c>
      <c r="K22">
        <v>1.2889999999999899</v>
      </c>
      <c r="L22">
        <v>2.16</v>
      </c>
      <c r="M22">
        <v>0.55000000000000004</v>
      </c>
      <c r="N22">
        <v>7.8999999999999695E-2</v>
      </c>
      <c r="O22">
        <v>0.55000000000000004</v>
      </c>
      <c r="P22">
        <v>0.78</v>
      </c>
      <c r="Q22">
        <v>0.08</v>
      </c>
      <c r="R22">
        <v>0.78</v>
      </c>
      <c r="S22">
        <v>0.84</v>
      </c>
      <c r="T22">
        <v>0.50799999999999901</v>
      </c>
      <c r="U22">
        <v>0.84</v>
      </c>
      <c r="V22">
        <v>1.24</v>
      </c>
      <c r="W22">
        <v>0.8</v>
      </c>
      <c r="X22">
        <v>1.24</v>
      </c>
      <c r="Y22">
        <v>0.55000000000000004</v>
      </c>
      <c r="Z22">
        <v>0.08</v>
      </c>
      <c r="AA22">
        <v>0.55000000000000004</v>
      </c>
      <c r="AB22">
        <v>2.62</v>
      </c>
      <c r="AC22">
        <v>1.8294999999999899</v>
      </c>
      <c r="AD22">
        <v>2.62</v>
      </c>
      <c r="AE22">
        <v>1.51</v>
      </c>
      <c r="AF22">
        <v>0.78449999999999898</v>
      </c>
      <c r="AG22">
        <v>1.51</v>
      </c>
      <c r="AH22">
        <v>2.58</v>
      </c>
      <c r="AI22">
        <v>1.62699999999999</v>
      </c>
      <c r="AJ22">
        <v>2.58</v>
      </c>
      <c r="AK22">
        <v>1.96</v>
      </c>
      <c r="AL22">
        <v>1.64899999999999</v>
      </c>
      <c r="AM22">
        <v>1.96</v>
      </c>
      <c r="AN22">
        <v>2.62</v>
      </c>
      <c r="AO22">
        <v>3</v>
      </c>
      <c r="AP22">
        <v>23.319916517715701</v>
      </c>
      <c r="AQ22">
        <v>26.194146778843098</v>
      </c>
      <c r="AR22">
        <v>24.757031648279401</v>
      </c>
      <c r="AS22">
        <v>0</v>
      </c>
      <c r="AT22">
        <v>0</v>
      </c>
      <c r="AU22">
        <v>0</v>
      </c>
      <c r="AV22">
        <v>0.23827225130890001</v>
      </c>
      <c r="AW22">
        <v>1.1000000000000001</v>
      </c>
      <c r="AX22">
        <v>0.23465391518284601</v>
      </c>
      <c r="AY22">
        <v>1.7591623036649202E-2</v>
      </c>
      <c r="AZ22">
        <v>0.44</v>
      </c>
      <c r="BA22">
        <v>6.3760519985991901E-2</v>
      </c>
      <c r="BB22">
        <v>2.0523560209423999E-2</v>
      </c>
      <c r="BC22">
        <v>0.65</v>
      </c>
      <c r="BD22">
        <v>7.6128427036368698E-2</v>
      </c>
      <c r="BE22">
        <v>0.14350785340314101</v>
      </c>
      <c r="BF22">
        <v>0.56499999999999995</v>
      </c>
      <c r="BG22">
        <v>0.100517918962565</v>
      </c>
      <c r="BH22" t="b">
        <v>0</v>
      </c>
    </row>
    <row r="23" spans="1:61" x14ac:dyDescent="0.25">
      <c r="A23" t="s">
        <v>23</v>
      </c>
      <c r="B23">
        <v>8</v>
      </c>
      <c r="C23">
        <v>0.20240926439325418</v>
      </c>
      <c r="D23">
        <v>1</v>
      </c>
      <c r="E23">
        <v>226</v>
      </c>
      <c r="F23">
        <v>226</v>
      </c>
      <c r="G23">
        <v>0.85172566371681402</v>
      </c>
      <c r="H23">
        <v>7.7809653532777301E-2</v>
      </c>
      <c r="I23">
        <v>0.77</v>
      </c>
      <c r="J23">
        <v>2.16</v>
      </c>
      <c r="K23">
        <v>1.3784999999999901</v>
      </c>
      <c r="L23">
        <v>2.16</v>
      </c>
      <c r="M23">
        <v>0.55000000000000004</v>
      </c>
      <c r="N23">
        <v>8.69999999999998E-2</v>
      </c>
      <c r="O23">
        <v>0.55000000000000004</v>
      </c>
      <c r="P23">
        <v>0.78</v>
      </c>
      <c r="Q23">
        <v>7.5499999999999803E-2</v>
      </c>
      <c r="R23">
        <v>0.78</v>
      </c>
      <c r="S23">
        <v>0.9</v>
      </c>
      <c r="T23">
        <v>0.51099999999999901</v>
      </c>
      <c r="U23">
        <v>0.9</v>
      </c>
      <c r="V23">
        <v>1.24</v>
      </c>
      <c r="W23">
        <v>0.76</v>
      </c>
      <c r="X23">
        <v>1.24</v>
      </c>
      <c r="Y23">
        <v>0.55000000000000004</v>
      </c>
      <c r="Z23">
        <v>4.8499999999999897E-2</v>
      </c>
      <c r="AA23">
        <v>0.55000000000000004</v>
      </c>
      <c r="AB23">
        <v>2.59</v>
      </c>
      <c r="AC23">
        <v>1.7364999999999899</v>
      </c>
      <c r="AD23">
        <v>2.59</v>
      </c>
      <c r="AE23">
        <v>1.42</v>
      </c>
      <c r="AF23">
        <v>0.70849999999999902</v>
      </c>
      <c r="AG23">
        <v>1.42</v>
      </c>
      <c r="AH23">
        <v>2.61</v>
      </c>
      <c r="AI23">
        <v>1.6239999999999899</v>
      </c>
      <c r="AJ23">
        <v>2.61</v>
      </c>
      <c r="AK23">
        <v>1.92</v>
      </c>
      <c r="AL23">
        <v>1.617</v>
      </c>
      <c r="AM23">
        <v>1.92</v>
      </c>
      <c r="AN23">
        <v>2.61</v>
      </c>
      <c r="AO23">
        <v>3</v>
      </c>
      <c r="AP23">
        <v>21.964354966037</v>
      </c>
      <c r="AQ23">
        <v>24.263323874699399</v>
      </c>
      <c r="AR23">
        <v>23.113839420368201</v>
      </c>
      <c r="AS23">
        <v>0</v>
      </c>
      <c r="AT23">
        <v>0</v>
      </c>
      <c r="AU23">
        <v>0</v>
      </c>
      <c r="AV23">
        <v>0.24076233183856499</v>
      </c>
      <c r="AW23">
        <v>1.1000000000000001</v>
      </c>
      <c r="AX23">
        <v>0.23390015887343801</v>
      </c>
      <c r="AY23">
        <v>1.6681614349775699E-2</v>
      </c>
      <c r="AZ23">
        <v>0.44</v>
      </c>
      <c r="BA23">
        <v>6.0370470412630502E-2</v>
      </c>
      <c r="BB23">
        <v>1.8385650224215198E-2</v>
      </c>
      <c r="BC23">
        <v>0.65</v>
      </c>
      <c r="BD23">
        <v>7.0875968024509406E-2</v>
      </c>
      <c r="BE23">
        <v>0.143439461883408</v>
      </c>
      <c r="BF23">
        <v>0.56499999999999895</v>
      </c>
      <c r="BG23">
        <v>9.70225098179264E-2</v>
      </c>
      <c r="BH23" t="b">
        <v>0</v>
      </c>
    </row>
    <row r="24" spans="1:61" x14ac:dyDescent="0.25">
      <c r="A24" t="s">
        <v>24</v>
      </c>
      <c r="B24">
        <v>10</v>
      </c>
      <c r="C24">
        <v>0.33949811226981036</v>
      </c>
      <c r="D24">
        <v>0.99651567944250796</v>
      </c>
      <c r="E24">
        <v>286</v>
      </c>
      <c r="F24">
        <v>287</v>
      </c>
      <c r="G24">
        <v>0.86506993006993005</v>
      </c>
      <c r="H24">
        <v>7.8493459363198598E-2</v>
      </c>
      <c r="I24">
        <v>0.77</v>
      </c>
      <c r="J24">
        <v>2.1800000000000002</v>
      </c>
      <c r="K24">
        <v>1.3884999999999901</v>
      </c>
      <c r="L24">
        <v>2.1800000000000002</v>
      </c>
      <c r="M24">
        <v>0.83</v>
      </c>
      <c r="N24">
        <v>0.53</v>
      </c>
      <c r="O24">
        <v>0.83</v>
      </c>
      <c r="P24">
        <v>2.23</v>
      </c>
      <c r="Q24">
        <v>1.45</v>
      </c>
      <c r="R24">
        <v>2.23</v>
      </c>
      <c r="S24">
        <v>0.84</v>
      </c>
      <c r="T24">
        <v>0.48549999999999899</v>
      </c>
      <c r="U24">
        <v>0.84</v>
      </c>
      <c r="V24">
        <v>1.68</v>
      </c>
      <c r="W24">
        <v>0.90249999999999797</v>
      </c>
      <c r="X24">
        <v>1.68</v>
      </c>
      <c r="Y24">
        <v>1.41</v>
      </c>
      <c r="Z24">
        <v>0.43</v>
      </c>
      <c r="AA24">
        <v>1.41</v>
      </c>
      <c r="AB24">
        <v>2.59</v>
      </c>
      <c r="AC24">
        <v>1.5879999999999901</v>
      </c>
      <c r="AD24">
        <v>2.59</v>
      </c>
      <c r="AE24">
        <v>2.34</v>
      </c>
      <c r="AF24">
        <v>0.74849999999999905</v>
      </c>
      <c r="AG24">
        <v>2.34</v>
      </c>
      <c r="AH24">
        <v>2.87</v>
      </c>
      <c r="AI24">
        <v>1.9185000000000001</v>
      </c>
      <c r="AJ24">
        <v>2.87</v>
      </c>
      <c r="AK24">
        <v>2.2200000000000002</v>
      </c>
      <c r="AL24">
        <v>1.84</v>
      </c>
      <c r="AM24">
        <v>2.2200000000000002</v>
      </c>
      <c r="AN24">
        <v>2.87</v>
      </c>
      <c r="AO24">
        <v>6</v>
      </c>
      <c r="AP24">
        <v>66.610260526996896</v>
      </c>
      <c r="AQ24">
        <v>25.5915845678172</v>
      </c>
      <c r="AR24">
        <v>46.100922547407002</v>
      </c>
      <c r="AS24">
        <v>0</v>
      </c>
      <c r="AT24">
        <v>0</v>
      </c>
      <c r="AU24">
        <v>0</v>
      </c>
      <c r="AV24">
        <v>0.226996466431095</v>
      </c>
      <c r="AW24">
        <v>1.91</v>
      </c>
      <c r="AX24">
        <v>0.250627107440476</v>
      </c>
      <c r="AY24">
        <v>4.0424028268551203E-2</v>
      </c>
      <c r="AZ24">
        <v>0.57999999999999996</v>
      </c>
      <c r="BA24">
        <v>9.6821374210007902E-2</v>
      </c>
      <c r="BB24">
        <v>8.2473498233215495E-2</v>
      </c>
      <c r="BC24">
        <v>1.51</v>
      </c>
      <c r="BD24">
        <v>0.20501373349875299</v>
      </c>
      <c r="BE24">
        <v>0.15757243816254399</v>
      </c>
      <c r="BF24">
        <v>0.73899999999999999</v>
      </c>
      <c r="BG24">
        <v>0.115120266886934</v>
      </c>
      <c r="BH24" t="b">
        <v>0</v>
      </c>
    </row>
    <row r="25" spans="1:61" x14ac:dyDescent="0.25">
      <c r="A25" t="s">
        <v>25</v>
      </c>
      <c r="B25">
        <v>7</v>
      </c>
      <c r="C25">
        <v>1.8369450086325956</v>
      </c>
      <c r="D25">
        <v>0.118012422360248</v>
      </c>
      <c r="E25">
        <v>19</v>
      </c>
      <c r="F25">
        <v>161</v>
      </c>
      <c r="G25">
        <v>0.94052631578947299</v>
      </c>
      <c r="H25">
        <v>4.8816400273601797E-2</v>
      </c>
      <c r="I25">
        <v>0.88</v>
      </c>
      <c r="J25">
        <v>0.69</v>
      </c>
      <c r="K25">
        <v>0.64999999999999902</v>
      </c>
      <c r="L25">
        <v>0.69</v>
      </c>
      <c r="M25">
        <v>0.63</v>
      </c>
      <c r="N25">
        <v>0.42199999999999899</v>
      </c>
      <c r="O25">
        <v>0.63</v>
      </c>
      <c r="P25">
        <v>1.33</v>
      </c>
      <c r="Q25">
        <v>1.0980000000000001</v>
      </c>
      <c r="R25">
        <v>1.33</v>
      </c>
      <c r="S25">
        <v>0.09</v>
      </c>
      <c r="T25">
        <v>8.1999999999999906E-2</v>
      </c>
      <c r="U25">
        <v>0.09</v>
      </c>
      <c r="V25">
        <v>0.52</v>
      </c>
      <c r="W25">
        <v>0.48799999999999999</v>
      </c>
      <c r="X25">
        <v>0.52</v>
      </c>
      <c r="Y25">
        <v>0</v>
      </c>
      <c r="Z25">
        <v>0</v>
      </c>
      <c r="AA25">
        <v>0</v>
      </c>
      <c r="AB25">
        <v>1.35</v>
      </c>
      <c r="AC25">
        <v>1.238</v>
      </c>
      <c r="AD25">
        <v>1.35</v>
      </c>
      <c r="AE25">
        <v>0.7</v>
      </c>
      <c r="AF25">
        <v>0.57999999999999996</v>
      </c>
      <c r="AG25">
        <v>0.7</v>
      </c>
      <c r="AH25">
        <v>1.0900000000000001</v>
      </c>
      <c r="AI25">
        <v>0.68999999999999895</v>
      </c>
      <c r="AJ25">
        <v>1.0900000000000001</v>
      </c>
      <c r="AK25">
        <v>1.1399999999999999</v>
      </c>
      <c r="AL25">
        <v>1.0760000000000001</v>
      </c>
      <c r="AM25">
        <v>1.1399999999999999</v>
      </c>
      <c r="AN25">
        <v>1.35</v>
      </c>
      <c r="AO25">
        <v>0</v>
      </c>
      <c r="AP25">
        <v>2.7669248155726001</v>
      </c>
      <c r="AQ25">
        <v>4.0140032535097401</v>
      </c>
      <c r="AR25">
        <v>3.3904640345411701</v>
      </c>
      <c r="AS25">
        <v>0</v>
      </c>
      <c r="AT25">
        <v>0</v>
      </c>
      <c r="AU25">
        <v>0</v>
      </c>
      <c r="AV25">
        <v>0.21812499999999899</v>
      </c>
      <c r="AW25">
        <v>0.69</v>
      </c>
      <c r="AX25">
        <v>0.22082851802926101</v>
      </c>
      <c r="AY25">
        <v>9.4375000000000001E-2</v>
      </c>
      <c r="AZ25">
        <v>0.63</v>
      </c>
      <c r="BA25">
        <v>0.157756487584504</v>
      </c>
      <c r="BB25">
        <v>0.40249999999999903</v>
      </c>
      <c r="BC25">
        <v>1.33</v>
      </c>
      <c r="BD25">
        <v>0.35006249442063903</v>
      </c>
      <c r="BE25">
        <v>0.18643750000000001</v>
      </c>
      <c r="BF25">
        <v>0.27400000000000002</v>
      </c>
      <c r="BG25">
        <v>6.0110282762186301E-2</v>
      </c>
      <c r="BH25" t="b">
        <v>0</v>
      </c>
    </row>
    <row r="26" spans="1:61" x14ac:dyDescent="0.25">
      <c r="A26" t="s">
        <v>26</v>
      </c>
      <c r="B26">
        <v>8</v>
      </c>
      <c r="C26">
        <v>0.641336578316404</v>
      </c>
      <c r="D26">
        <v>0.10377358490565999</v>
      </c>
      <c r="E26">
        <v>22</v>
      </c>
      <c r="F26">
        <v>212</v>
      </c>
      <c r="G26">
        <v>0.91727272727272702</v>
      </c>
      <c r="H26">
        <v>7.5035345206795903E-2</v>
      </c>
      <c r="I26">
        <v>0.77</v>
      </c>
      <c r="J26">
        <v>0.69</v>
      </c>
      <c r="K26">
        <v>0.64499999999999902</v>
      </c>
      <c r="L26">
        <v>0.69</v>
      </c>
      <c r="M26">
        <v>0.63</v>
      </c>
      <c r="N26">
        <v>0.39599999999999902</v>
      </c>
      <c r="O26">
        <v>0.63</v>
      </c>
      <c r="P26">
        <v>1.33</v>
      </c>
      <c r="Q26">
        <v>1.06899999999999</v>
      </c>
      <c r="R26">
        <v>1.33</v>
      </c>
      <c r="S26">
        <v>0.83</v>
      </c>
      <c r="T26">
        <v>0.52399999999999902</v>
      </c>
      <c r="U26">
        <v>0.83</v>
      </c>
      <c r="V26">
        <v>0.52</v>
      </c>
      <c r="W26">
        <v>0.48399999999999899</v>
      </c>
      <c r="X26">
        <v>0.52</v>
      </c>
      <c r="Y26">
        <v>7.0000000000000007E-2</v>
      </c>
      <c r="Z26">
        <v>6.9999999999997998E-3</v>
      </c>
      <c r="AA26">
        <v>7.0000000000000007E-2</v>
      </c>
      <c r="AB26">
        <v>1.41</v>
      </c>
      <c r="AC26">
        <v>1.28399999999999</v>
      </c>
      <c r="AD26">
        <v>1.41</v>
      </c>
      <c r="AE26">
        <v>0.64</v>
      </c>
      <c r="AF26">
        <v>0.53199999999999903</v>
      </c>
      <c r="AG26">
        <v>0.64</v>
      </c>
      <c r="AH26">
        <v>2.73</v>
      </c>
      <c r="AI26">
        <v>1.9649999999999901</v>
      </c>
      <c r="AJ26">
        <v>2.73</v>
      </c>
      <c r="AK26">
        <v>1.1100000000000001</v>
      </c>
      <c r="AL26">
        <v>1.083</v>
      </c>
      <c r="AM26">
        <v>1.1100000000000001</v>
      </c>
      <c r="AN26">
        <v>2.73</v>
      </c>
      <c r="AO26">
        <v>1</v>
      </c>
      <c r="AP26">
        <v>49.478224954014202</v>
      </c>
      <c r="AQ26">
        <v>75.333532692778405</v>
      </c>
      <c r="AR26">
        <v>62.4058788233963</v>
      </c>
      <c r="AS26">
        <v>0</v>
      </c>
      <c r="AT26">
        <v>0</v>
      </c>
      <c r="AU26">
        <v>0</v>
      </c>
      <c r="AV26">
        <v>0.20388888888888801</v>
      </c>
      <c r="AW26">
        <v>0.69</v>
      </c>
      <c r="AX26">
        <v>0.21271104262430901</v>
      </c>
      <c r="AY26">
        <v>9.9444444444444405E-2</v>
      </c>
      <c r="AZ26">
        <v>0.63</v>
      </c>
      <c r="BA26">
        <v>0.15558035516600399</v>
      </c>
      <c r="BB26">
        <v>0.38833333333333298</v>
      </c>
      <c r="BC26">
        <v>1.33</v>
      </c>
      <c r="BD26">
        <v>0.34487115146255798</v>
      </c>
      <c r="BE26">
        <v>0.19361111111111101</v>
      </c>
      <c r="BF26">
        <v>0.34899999999999998</v>
      </c>
      <c r="BG26">
        <v>6.9102290433891295E-2</v>
      </c>
      <c r="BH26" t="b">
        <v>0</v>
      </c>
    </row>
    <row r="27" spans="1:61" x14ac:dyDescent="0.25">
      <c r="A27" t="s">
        <v>27</v>
      </c>
      <c r="B27">
        <v>9</v>
      </c>
      <c r="C27">
        <v>0.71159032094304897</v>
      </c>
      <c r="D27">
        <v>0.102473498233215</v>
      </c>
      <c r="E27">
        <v>29</v>
      </c>
      <c r="F27">
        <v>283</v>
      </c>
      <c r="G27">
        <v>0.90172413793103401</v>
      </c>
      <c r="H27">
        <v>8.3455247439110397E-2</v>
      </c>
      <c r="I27">
        <v>0.77</v>
      </c>
      <c r="J27">
        <v>0.69</v>
      </c>
      <c r="K27">
        <v>0.63399999999999901</v>
      </c>
      <c r="L27">
        <v>0.69</v>
      </c>
      <c r="M27">
        <v>0.63</v>
      </c>
      <c r="N27">
        <v>0.36699999999999899</v>
      </c>
      <c r="O27">
        <v>0.63</v>
      </c>
      <c r="P27">
        <v>1.33</v>
      </c>
      <c r="Q27">
        <v>1.0069999999999899</v>
      </c>
      <c r="R27">
        <v>1.33</v>
      </c>
      <c r="S27">
        <v>0.81</v>
      </c>
      <c r="T27">
        <v>0.56499999999999895</v>
      </c>
      <c r="U27">
        <v>0.81</v>
      </c>
      <c r="V27">
        <v>0.52</v>
      </c>
      <c r="W27">
        <v>0.47399999999999898</v>
      </c>
      <c r="X27">
        <v>0.52</v>
      </c>
      <c r="Y27">
        <v>0.33</v>
      </c>
      <c r="Z27">
        <v>6.8499999999999894E-2</v>
      </c>
      <c r="AA27">
        <v>0.33</v>
      </c>
      <c r="AB27">
        <v>3.07</v>
      </c>
      <c r="AC27">
        <v>1.7909999999999899</v>
      </c>
      <c r="AD27">
        <v>3.07</v>
      </c>
      <c r="AE27">
        <v>3.33</v>
      </c>
      <c r="AF27">
        <v>0.64049999999999896</v>
      </c>
      <c r="AG27">
        <v>3.33</v>
      </c>
      <c r="AH27">
        <v>2.65</v>
      </c>
      <c r="AI27">
        <v>1.806</v>
      </c>
      <c r="AJ27">
        <v>2.65</v>
      </c>
      <c r="AK27">
        <v>1.36</v>
      </c>
      <c r="AL27">
        <v>1.3119999999999901</v>
      </c>
      <c r="AM27">
        <v>1.36</v>
      </c>
      <c r="AN27">
        <v>3.33</v>
      </c>
      <c r="AO27">
        <v>3</v>
      </c>
      <c r="AP27">
        <v>82.568569706731296</v>
      </c>
      <c r="AQ27">
        <v>123.69875780597199</v>
      </c>
      <c r="AR27">
        <v>103.13366375635199</v>
      </c>
      <c r="AS27">
        <v>0</v>
      </c>
      <c r="AT27">
        <v>0</v>
      </c>
      <c r="AU27">
        <v>0</v>
      </c>
      <c r="AV27">
        <v>0.21173913043478201</v>
      </c>
      <c r="AW27">
        <v>0.69</v>
      </c>
      <c r="AX27">
        <v>0.23326887218332101</v>
      </c>
      <c r="AY27">
        <v>7.7826086956521698E-2</v>
      </c>
      <c r="AZ27">
        <v>0.63</v>
      </c>
      <c r="BA27">
        <v>0.14361653416194101</v>
      </c>
      <c r="BB27">
        <v>0.39434782608695601</v>
      </c>
      <c r="BC27">
        <v>1.33</v>
      </c>
      <c r="BD27">
        <v>0.31347735632746498</v>
      </c>
      <c r="BE27">
        <v>0.289739130434782</v>
      </c>
      <c r="BF27">
        <v>0.998</v>
      </c>
      <c r="BG27">
        <v>0.233190949446138</v>
      </c>
      <c r="BH27" t="b">
        <v>0</v>
      </c>
    </row>
    <row r="28" spans="1:61" x14ac:dyDescent="0.25">
      <c r="A28" t="s">
        <v>28</v>
      </c>
      <c r="B28">
        <v>9</v>
      </c>
      <c r="C28">
        <v>0.1299970678668404</v>
      </c>
      <c r="D28">
        <v>0.29487311275297101</v>
      </c>
      <c r="E28">
        <v>81.5</v>
      </c>
      <c r="F28">
        <v>279</v>
      </c>
      <c r="G28">
        <v>0.89601132269686001</v>
      </c>
      <c r="H28">
        <v>8.6280288755946705E-2</v>
      </c>
      <c r="I28">
        <v>0.4</v>
      </c>
      <c r="J28">
        <v>1.8149999999999999</v>
      </c>
      <c r="K28">
        <v>1.4084999999999901</v>
      </c>
      <c r="L28">
        <v>12.802627118644001</v>
      </c>
      <c r="M28">
        <v>1.4749999999999901</v>
      </c>
      <c r="N28">
        <v>1.2017500000000001</v>
      </c>
      <c r="O28">
        <v>5.4251321585902996</v>
      </c>
      <c r="P28">
        <v>1.41</v>
      </c>
      <c r="Q28">
        <v>1.0349999999999899</v>
      </c>
      <c r="R28">
        <v>1.41</v>
      </c>
      <c r="S28">
        <v>0.75</v>
      </c>
      <c r="T28">
        <v>0.47749999999999898</v>
      </c>
      <c r="U28">
        <v>0.75</v>
      </c>
      <c r="V28">
        <v>0.95</v>
      </c>
      <c r="W28">
        <v>0.64849999999999897</v>
      </c>
      <c r="X28">
        <v>0.95</v>
      </c>
      <c r="Y28">
        <v>1.56</v>
      </c>
      <c r="Z28">
        <v>1.12024999999999</v>
      </c>
      <c r="AA28">
        <v>1.56</v>
      </c>
      <c r="AB28">
        <v>2.6150000000000002</v>
      </c>
      <c r="AC28">
        <v>1.6652499999999899</v>
      </c>
      <c r="AD28">
        <v>2.6150000000000002</v>
      </c>
      <c r="AE28">
        <v>3.57</v>
      </c>
      <c r="AF28">
        <v>1.4917499999999999</v>
      </c>
      <c r="AG28">
        <v>3.57</v>
      </c>
      <c r="AH28">
        <v>2.4249999999999998</v>
      </c>
      <c r="AI28">
        <v>1.63174999999999</v>
      </c>
      <c r="AJ28">
        <v>2.4249999999999998</v>
      </c>
      <c r="AK28">
        <v>1.99</v>
      </c>
      <c r="AL28">
        <v>1.4132499999999899</v>
      </c>
      <c r="AM28">
        <v>1.99</v>
      </c>
      <c r="AN28">
        <v>3.57</v>
      </c>
      <c r="AO28">
        <v>5</v>
      </c>
      <c r="AP28">
        <v>48.8009789343755</v>
      </c>
      <c r="AQ28">
        <v>75.9251119017826</v>
      </c>
      <c r="AR28">
        <v>62.363045418078997</v>
      </c>
      <c r="AS28">
        <v>0</v>
      </c>
      <c r="AT28">
        <v>0</v>
      </c>
      <c r="AU28">
        <v>0</v>
      </c>
      <c r="AV28">
        <v>0.263625470729202</v>
      </c>
      <c r="AW28">
        <v>1.145</v>
      </c>
      <c r="AX28">
        <v>0.28173725380801801</v>
      </c>
      <c r="AY28">
        <v>0.190409106470386</v>
      </c>
      <c r="AZ28">
        <v>1.4749999999999901</v>
      </c>
      <c r="BA28">
        <v>0.26930571544546</v>
      </c>
      <c r="BB28">
        <v>0.27166210201985602</v>
      </c>
      <c r="BC28">
        <v>1.105</v>
      </c>
      <c r="BD28">
        <v>0.26279510840694198</v>
      </c>
      <c r="BE28">
        <v>0.25272783293392598</v>
      </c>
      <c r="BF28">
        <v>0.92500000000000004</v>
      </c>
      <c r="BG28">
        <v>0.20055241197982299</v>
      </c>
      <c r="BH28" t="b">
        <v>1</v>
      </c>
      <c r="BI28" t="s">
        <v>155</v>
      </c>
    </row>
    <row r="29" spans="1:61" x14ac:dyDescent="0.25">
      <c r="A29" t="s">
        <v>29</v>
      </c>
      <c r="B29">
        <v>10</v>
      </c>
      <c r="C29">
        <v>0.12976666528100128</v>
      </c>
      <c r="D29">
        <v>0.75573079039060997</v>
      </c>
      <c r="E29">
        <v>182.666666666666</v>
      </c>
      <c r="F29">
        <v>215.333333333333</v>
      </c>
      <c r="G29">
        <v>0.84902445718817399</v>
      </c>
      <c r="H29">
        <v>9.92716910802664E-2</v>
      </c>
      <c r="I29">
        <v>0.52333333333333298</v>
      </c>
      <c r="J29">
        <v>1.7266666666666599</v>
      </c>
      <c r="K29">
        <v>1.1861666666666599</v>
      </c>
      <c r="L29">
        <v>7.0466666666666598</v>
      </c>
      <c r="M29">
        <v>0.62333333333333296</v>
      </c>
      <c r="N29">
        <v>0.26266666666666599</v>
      </c>
      <c r="O29">
        <v>0.62333333333333296</v>
      </c>
      <c r="P29">
        <v>1.63</v>
      </c>
      <c r="Q29">
        <v>1.07483333333333</v>
      </c>
      <c r="R29">
        <v>1.63</v>
      </c>
      <c r="S29">
        <v>0.79999999999999905</v>
      </c>
      <c r="T29">
        <v>0.41216666666666602</v>
      </c>
      <c r="U29">
        <v>0.79999999999999905</v>
      </c>
      <c r="V29">
        <v>1.2333333333333301</v>
      </c>
      <c r="W29">
        <v>0.60816666666666597</v>
      </c>
      <c r="X29">
        <v>1.2333333333333301</v>
      </c>
      <c r="Y29">
        <v>1.0733333333333299</v>
      </c>
      <c r="Z29">
        <v>0.539333333333333</v>
      </c>
      <c r="AA29">
        <v>1.0733333333333299</v>
      </c>
      <c r="AB29">
        <v>2.5666666666666602</v>
      </c>
      <c r="AC29">
        <v>1.8964999999999901</v>
      </c>
      <c r="AD29">
        <v>2.5666666666666602</v>
      </c>
      <c r="AE29">
        <v>1.4733333333333301</v>
      </c>
      <c r="AF29">
        <v>0.67049999999999899</v>
      </c>
      <c r="AG29">
        <v>1.4733333333333301</v>
      </c>
      <c r="AH29">
        <v>2.27</v>
      </c>
      <c r="AI29">
        <v>1.53066666666666</v>
      </c>
      <c r="AJ29">
        <v>2.27</v>
      </c>
      <c r="AK29">
        <v>1.72</v>
      </c>
      <c r="AL29">
        <v>1.40099999999999</v>
      </c>
      <c r="AM29">
        <v>1.72</v>
      </c>
      <c r="AN29">
        <v>2.6666666666666599</v>
      </c>
      <c r="AO29">
        <v>3.3333333333333299</v>
      </c>
      <c r="AP29">
        <v>53.109764952905898</v>
      </c>
      <c r="AQ29">
        <v>29.989232517006801</v>
      </c>
      <c r="AR29">
        <v>41.549498734956302</v>
      </c>
      <c r="AS29">
        <v>0</v>
      </c>
      <c r="AT29">
        <v>0</v>
      </c>
      <c r="AU29">
        <v>0</v>
      </c>
      <c r="AV29">
        <v>0.23141509491871501</v>
      </c>
      <c r="AW29">
        <v>1.2333333333333301</v>
      </c>
      <c r="AX29">
        <v>0.21729297149114599</v>
      </c>
      <c r="AY29">
        <v>3.24586376295323E-2</v>
      </c>
      <c r="AZ29">
        <v>0.50333333333333297</v>
      </c>
      <c r="BA29">
        <v>8.3226526329328601E-2</v>
      </c>
      <c r="BB29">
        <v>0.13857467110743099</v>
      </c>
      <c r="BC29">
        <v>1.3</v>
      </c>
      <c r="BD29">
        <v>0.199173620651382</v>
      </c>
      <c r="BE29">
        <v>0.154508471186488</v>
      </c>
      <c r="BF29">
        <v>0.60066666666666602</v>
      </c>
      <c r="BG29">
        <v>0.103162288184368</v>
      </c>
      <c r="BH29" t="b">
        <v>1</v>
      </c>
      <c r="BI29" t="s">
        <v>154</v>
      </c>
    </row>
    <row r="30" spans="1:61" x14ac:dyDescent="0.25">
      <c r="A30" t="s">
        <v>30</v>
      </c>
      <c r="B30">
        <v>7</v>
      </c>
      <c r="C30">
        <v>0.37464950584468981</v>
      </c>
      <c r="D30">
        <v>0.24382716049382699</v>
      </c>
      <c r="E30">
        <v>79</v>
      </c>
      <c r="F30">
        <v>324</v>
      </c>
      <c r="G30">
        <v>0.95417721518987297</v>
      </c>
      <c r="H30">
        <v>5.52060846455261E-2</v>
      </c>
      <c r="I30">
        <v>0.82</v>
      </c>
      <c r="J30">
        <v>2.02</v>
      </c>
      <c r="K30">
        <v>0.85199999999999898</v>
      </c>
      <c r="L30">
        <v>2.02</v>
      </c>
      <c r="M30">
        <v>0.65</v>
      </c>
      <c r="N30">
        <v>0.28099999999999897</v>
      </c>
      <c r="O30">
        <v>0.65</v>
      </c>
      <c r="P30">
        <v>5</v>
      </c>
      <c r="Q30">
        <v>2.5505</v>
      </c>
      <c r="R30">
        <v>5</v>
      </c>
      <c r="S30">
        <v>1.1499999999999999</v>
      </c>
      <c r="T30">
        <v>1.0634999999999999</v>
      </c>
      <c r="U30">
        <v>1.1499999999999999</v>
      </c>
      <c r="V30">
        <v>4.25</v>
      </c>
      <c r="W30">
        <v>1.0739999999999901</v>
      </c>
      <c r="X30">
        <v>4.25</v>
      </c>
      <c r="Y30">
        <v>1.1000000000000001</v>
      </c>
      <c r="Z30">
        <v>0.47149999999999898</v>
      </c>
      <c r="AA30">
        <v>1.1000000000000001</v>
      </c>
      <c r="AB30">
        <v>3.39</v>
      </c>
      <c r="AC30">
        <v>2.8740000000000001</v>
      </c>
      <c r="AD30">
        <v>3.39</v>
      </c>
      <c r="AE30">
        <v>3.6</v>
      </c>
      <c r="AF30">
        <v>0.93049999999999899</v>
      </c>
      <c r="AG30">
        <v>3.6</v>
      </c>
      <c r="AH30">
        <v>2.76</v>
      </c>
      <c r="AI30">
        <v>2.4834999999999998</v>
      </c>
      <c r="AJ30">
        <v>2.76</v>
      </c>
      <c r="AK30">
        <v>3.23</v>
      </c>
      <c r="AL30">
        <v>2.7425000000000002</v>
      </c>
      <c r="AM30">
        <v>3.23</v>
      </c>
      <c r="AN30">
        <v>5</v>
      </c>
      <c r="AO30">
        <v>7</v>
      </c>
      <c r="AP30">
        <v>181.236447982534</v>
      </c>
      <c r="AQ30">
        <v>82.674867707200804</v>
      </c>
      <c r="AR30">
        <v>131.95565784486701</v>
      </c>
      <c r="AS30">
        <v>0</v>
      </c>
      <c r="AT30">
        <v>0</v>
      </c>
      <c r="AU30">
        <v>0</v>
      </c>
      <c r="AV30">
        <v>0.20215189873417699</v>
      </c>
      <c r="AW30">
        <v>2.02</v>
      </c>
      <c r="AX30">
        <v>0.35537703595796399</v>
      </c>
      <c r="AY30">
        <v>6.5063291139240503E-2</v>
      </c>
      <c r="AZ30">
        <v>0.65</v>
      </c>
      <c r="BA30">
        <v>0.128996844409657</v>
      </c>
      <c r="BB30">
        <v>0.70101265822784797</v>
      </c>
      <c r="BC30">
        <v>5</v>
      </c>
      <c r="BD30">
        <v>0.83575115146886902</v>
      </c>
      <c r="BE30">
        <v>0.35591139240506298</v>
      </c>
      <c r="BF30">
        <v>1.5680000000000001</v>
      </c>
      <c r="BG30">
        <v>0.25936471510179099</v>
      </c>
      <c r="BH30" t="b">
        <v>0</v>
      </c>
    </row>
    <row r="31" spans="1:61" x14ac:dyDescent="0.25">
      <c r="A31" t="s">
        <v>31</v>
      </c>
      <c r="B31">
        <v>5</v>
      </c>
      <c r="C31">
        <v>0.3019297330947151</v>
      </c>
      <c r="D31">
        <v>0.24561403508771901</v>
      </c>
      <c r="E31">
        <v>28</v>
      </c>
      <c r="F31">
        <v>114</v>
      </c>
      <c r="G31">
        <v>0.97071428571428497</v>
      </c>
      <c r="H31">
        <v>3.5058530047629301E-2</v>
      </c>
      <c r="I31">
        <v>0.82</v>
      </c>
      <c r="J31">
        <v>1.41</v>
      </c>
      <c r="K31">
        <v>1.02999999999999</v>
      </c>
      <c r="L31">
        <v>1.41</v>
      </c>
      <c r="M31">
        <v>1.0900000000000001</v>
      </c>
      <c r="N31">
        <v>1.0225</v>
      </c>
      <c r="O31">
        <v>1.0900000000000001</v>
      </c>
      <c r="P31">
        <v>2.38</v>
      </c>
      <c r="Q31">
        <v>1.96399999999999</v>
      </c>
      <c r="R31">
        <v>2.38</v>
      </c>
      <c r="S31">
        <v>3.33</v>
      </c>
      <c r="T31">
        <v>0.37</v>
      </c>
      <c r="U31">
        <v>3.33</v>
      </c>
      <c r="V31">
        <v>1.1000000000000001</v>
      </c>
      <c r="W31">
        <v>1.03799999999999</v>
      </c>
      <c r="X31">
        <v>1.1000000000000001</v>
      </c>
      <c r="Y31">
        <v>1.21</v>
      </c>
      <c r="Z31">
        <v>1.0469999999999899</v>
      </c>
      <c r="AA31">
        <v>1.21</v>
      </c>
      <c r="AB31">
        <v>3.33</v>
      </c>
      <c r="AC31">
        <v>2.6444999999999901</v>
      </c>
      <c r="AD31">
        <v>3.33</v>
      </c>
      <c r="AE31">
        <v>1.18</v>
      </c>
      <c r="AF31">
        <v>0.96549999999999903</v>
      </c>
      <c r="AG31">
        <v>1.18</v>
      </c>
      <c r="AH31">
        <v>1.91</v>
      </c>
      <c r="AI31">
        <v>1.1499999999999999</v>
      </c>
      <c r="AJ31">
        <v>1.91</v>
      </c>
      <c r="AK31">
        <v>3.66</v>
      </c>
      <c r="AL31">
        <v>3.2534999999999901</v>
      </c>
      <c r="AM31">
        <v>3.66</v>
      </c>
      <c r="AN31">
        <v>3.66</v>
      </c>
      <c r="AO31">
        <v>4</v>
      </c>
      <c r="AP31">
        <v>12.4832033576534</v>
      </c>
      <c r="AQ31">
        <v>8.3580282355838094</v>
      </c>
      <c r="AR31">
        <v>10.4206157966186</v>
      </c>
      <c r="AS31">
        <v>0</v>
      </c>
      <c r="AT31">
        <v>0</v>
      </c>
      <c r="AU31">
        <v>0</v>
      </c>
      <c r="AV31">
        <v>0.17296296296296201</v>
      </c>
      <c r="AW31">
        <v>0.65</v>
      </c>
      <c r="AX31">
        <v>0.187435219719296</v>
      </c>
      <c r="AY31">
        <v>0.142222222222222</v>
      </c>
      <c r="AZ31">
        <v>0.75</v>
      </c>
      <c r="BA31">
        <v>0.18363275212859201</v>
      </c>
      <c r="BB31">
        <v>0.54666666666666597</v>
      </c>
      <c r="BC31">
        <v>1.73</v>
      </c>
      <c r="BD31">
        <v>0.47459924614820398</v>
      </c>
      <c r="BE31">
        <v>0.37255555555555497</v>
      </c>
      <c r="BF31">
        <v>1.0629999999999999</v>
      </c>
      <c r="BG31">
        <v>0.23308881367780901</v>
      </c>
      <c r="BH31" t="b">
        <v>0</v>
      </c>
    </row>
    <row r="32" spans="1:61" x14ac:dyDescent="0.25">
      <c r="A32" t="s">
        <v>32</v>
      </c>
      <c r="B32">
        <v>6</v>
      </c>
      <c r="C32">
        <v>0.25706379248444594</v>
      </c>
      <c r="D32">
        <v>0.365242403879593</v>
      </c>
      <c r="E32">
        <v>70.3333333333333</v>
      </c>
      <c r="F32">
        <v>244.333333333333</v>
      </c>
      <c r="G32">
        <v>0.87344363295680305</v>
      </c>
      <c r="H32">
        <v>0.155355663163281</v>
      </c>
      <c r="I32">
        <v>0.15333333333333299</v>
      </c>
      <c r="J32">
        <v>2.1466666666666598</v>
      </c>
      <c r="K32">
        <v>1.59666666666666</v>
      </c>
      <c r="L32">
        <v>3.5958536585365799</v>
      </c>
      <c r="M32">
        <v>0.836666666666666</v>
      </c>
      <c r="N32">
        <v>0.48291666666666599</v>
      </c>
      <c r="O32">
        <v>0.836666666666666</v>
      </c>
      <c r="P32">
        <v>2.5849999999999902</v>
      </c>
      <c r="Q32">
        <v>1.7942499999999999</v>
      </c>
      <c r="R32">
        <v>7.4861111111111098</v>
      </c>
      <c r="S32">
        <v>1.3</v>
      </c>
      <c r="T32">
        <v>0.75208333333333299</v>
      </c>
      <c r="U32">
        <v>1.3</v>
      </c>
      <c r="V32">
        <v>2.62333333333333</v>
      </c>
      <c r="W32">
        <v>1.78291666666666</v>
      </c>
      <c r="X32">
        <v>3.7406615776081402</v>
      </c>
      <c r="Y32">
        <v>0.92833333333333301</v>
      </c>
      <c r="Z32">
        <v>0.58008333333333195</v>
      </c>
      <c r="AA32">
        <v>0.92833333333333301</v>
      </c>
      <c r="AB32">
        <v>3.9849999999999999</v>
      </c>
      <c r="AC32">
        <v>3.4170833333333301</v>
      </c>
      <c r="AD32">
        <v>3.9849999999999999</v>
      </c>
      <c r="AE32">
        <v>2.3416666666666601</v>
      </c>
      <c r="AF32">
        <v>1.59116666666666</v>
      </c>
      <c r="AG32">
        <v>2.3416666666666601</v>
      </c>
      <c r="AH32">
        <v>2.4733333333333301</v>
      </c>
      <c r="AI32">
        <v>1.81083333333333</v>
      </c>
      <c r="AJ32">
        <v>2.4733333333333301</v>
      </c>
      <c r="AK32">
        <v>3.11</v>
      </c>
      <c r="AL32">
        <v>2.32925</v>
      </c>
      <c r="AM32">
        <v>3.11</v>
      </c>
      <c r="AN32">
        <v>4.1183333333333296</v>
      </c>
      <c r="AO32">
        <v>4.8333333333333304</v>
      </c>
      <c r="AP32">
        <v>19.539284458780799</v>
      </c>
      <c r="AQ32">
        <v>17.5303054881701</v>
      </c>
      <c r="AR32">
        <v>18.534794973475499</v>
      </c>
      <c r="AS32">
        <v>0</v>
      </c>
      <c r="AT32">
        <v>0</v>
      </c>
      <c r="AU32">
        <v>0</v>
      </c>
      <c r="AV32">
        <v>0.30138238339685702</v>
      </c>
      <c r="AW32">
        <v>1.7366666666666599</v>
      </c>
      <c r="AX32">
        <v>0.36138833947599203</v>
      </c>
      <c r="AY32">
        <v>8.4895501299694906E-2</v>
      </c>
      <c r="AZ32">
        <v>0.70833333333333304</v>
      </c>
      <c r="BA32">
        <v>0.158210954839337</v>
      </c>
      <c r="BB32">
        <v>0.31139229503168803</v>
      </c>
      <c r="BC32">
        <v>2.0716666666666601</v>
      </c>
      <c r="BD32">
        <v>0.43238702586803501</v>
      </c>
      <c r="BE32">
        <v>0.29700782821770799</v>
      </c>
      <c r="BF32">
        <v>1.0165</v>
      </c>
      <c r="BG32">
        <v>0.21599337389041701</v>
      </c>
      <c r="BH32" t="b">
        <v>1</v>
      </c>
      <c r="BI32" t="s">
        <v>156</v>
      </c>
    </row>
    <row r="33" spans="1:61" x14ac:dyDescent="0.25">
      <c r="A33" t="s">
        <v>33</v>
      </c>
      <c r="B33">
        <v>6</v>
      </c>
      <c r="C33">
        <v>0.31172102573939747</v>
      </c>
      <c r="D33">
        <v>0.25468164794007397</v>
      </c>
      <c r="E33">
        <v>68</v>
      </c>
      <c r="F33">
        <v>267</v>
      </c>
      <c r="G33">
        <v>0.91249999999999998</v>
      </c>
      <c r="H33">
        <v>0.14362445848331901</v>
      </c>
      <c r="I33">
        <v>0.03</v>
      </c>
      <c r="J33">
        <v>2.29</v>
      </c>
      <c r="K33">
        <v>1.85699999999999</v>
      </c>
      <c r="L33">
        <v>2.29</v>
      </c>
      <c r="M33">
        <v>1.48</v>
      </c>
      <c r="N33">
        <v>0.74949999999999894</v>
      </c>
      <c r="O33">
        <v>1.48</v>
      </c>
      <c r="P33">
        <v>5</v>
      </c>
      <c r="Q33">
        <v>3.33</v>
      </c>
      <c r="R33">
        <v>5</v>
      </c>
      <c r="S33">
        <v>2.76</v>
      </c>
      <c r="T33">
        <v>1.01449999999999</v>
      </c>
      <c r="U33">
        <v>2.76</v>
      </c>
      <c r="V33">
        <v>4.2699999999999996</v>
      </c>
      <c r="W33">
        <v>2.7254999999999998</v>
      </c>
      <c r="X33">
        <v>4.2699999999999996</v>
      </c>
      <c r="Y33">
        <v>2.64</v>
      </c>
      <c r="Z33">
        <v>1.59099999999999</v>
      </c>
      <c r="AA33">
        <v>2.64</v>
      </c>
      <c r="AB33">
        <v>5</v>
      </c>
      <c r="AC33">
        <v>4.8634999999999904</v>
      </c>
      <c r="AD33">
        <v>5</v>
      </c>
      <c r="AE33">
        <v>5</v>
      </c>
      <c r="AF33">
        <v>5</v>
      </c>
      <c r="AG33">
        <v>5</v>
      </c>
      <c r="AH33">
        <v>1.83</v>
      </c>
      <c r="AI33">
        <v>1.27649999999999</v>
      </c>
      <c r="AJ33">
        <v>1.83</v>
      </c>
      <c r="AK33">
        <v>4.5999999999999996</v>
      </c>
      <c r="AL33">
        <v>3.94349999999999</v>
      </c>
      <c r="AM33">
        <v>4.5999999999999996</v>
      </c>
      <c r="AN33">
        <v>5</v>
      </c>
      <c r="AO33">
        <v>8</v>
      </c>
      <c r="AP33">
        <v>22.1402368778976</v>
      </c>
      <c r="AQ33">
        <v>18.971762468564901</v>
      </c>
      <c r="AR33">
        <v>20.555999673231302</v>
      </c>
      <c r="AS33">
        <v>0</v>
      </c>
      <c r="AT33">
        <v>0</v>
      </c>
      <c r="AU33">
        <v>0</v>
      </c>
      <c r="AV33">
        <v>0.53142857142857103</v>
      </c>
      <c r="AW33">
        <v>1.95</v>
      </c>
      <c r="AX33">
        <v>0.56550821964429498</v>
      </c>
      <c r="AY33">
        <v>0.10507936507936499</v>
      </c>
      <c r="AZ33">
        <v>1.41</v>
      </c>
      <c r="BA33">
        <v>0.29569865084893798</v>
      </c>
      <c r="BB33">
        <v>0.58888888888888902</v>
      </c>
      <c r="BC33">
        <v>4.99</v>
      </c>
      <c r="BD33">
        <v>1.01274436378805</v>
      </c>
      <c r="BE33">
        <v>0.493682539682539</v>
      </c>
      <c r="BF33">
        <v>1.899</v>
      </c>
      <c r="BG33">
        <v>0.38796026737311201</v>
      </c>
      <c r="BH33" t="b">
        <v>0</v>
      </c>
    </row>
    <row r="34" spans="1:61" x14ac:dyDescent="0.25">
      <c r="A34" t="s">
        <v>34</v>
      </c>
      <c r="B34">
        <v>6</v>
      </c>
      <c r="C34">
        <v>0.15706224480453801</v>
      </c>
      <c r="D34">
        <v>0.30567329240962599</v>
      </c>
      <c r="E34">
        <v>49.6666666666666</v>
      </c>
      <c r="F34">
        <v>232.666666666666</v>
      </c>
      <c r="G34">
        <v>0.85571149318050499</v>
      </c>
      <c r="H34">
        <v>0.18860968278731899</v>
      </c>
      <c r="I34">
        <v>0.27666666666666601</v>
      </c>
      <c r="J34">
        <v>2.3133333333333299</v>
      </c>
      <c r="K34">
        <v>1.6943333333333299</v>
      </c>
      <c r="L34">
        <v>5.2117073170731603</v>
      </c>
      <c r="M34">
        <v>0.65333333333333299</v>
      </c>
      <c r="N34">
        <v>0.34266666666666601</v>
      </c>
      <c r="O34">
        <v>0.65333333333333299</v>
      </c>
      <c r="P34">
        <v>1.2433333333333301</v>
      </c>
      <c r="Q34">
        <v>0.97433333333333305</v>
      </c>
      <c r="R34">
        <v>1.2433333333333301</v>
      </c>
      <c r="S34">
        <v>0.93333333333333302</v>
      </c>
      <c r="T34">
        <v>0.67099999999999904</v>
      </c>
      <c r="U34">
        <v>0.93333333333333302</v>
      </c>
      <c r="V34">
        <v>1.96</v>
      </c>
      <c r="W34">
        <v>1.7914999999999901</v>
      </c>
      <c r="X34">
        <v>4.1946564885496098</v>
      </c>
      <c r="Y34">
        <v>0.483333333333333</v>
      </c>
      <c r="Z34">
        <v>0.311499999999999</v>
      </c>
      <c r="AA34">
        <v>0.483333333333333</v>
      </c>
      <c r="AB34">
        <v>3.5266666666666602</v>
      </c>
      <c r="AC34">
        <v>3.1329999999999898</v>
      </c>
      <c r="AD34">
        <v>3.5266666666666602</v>
      </c>
      <c r="AE34">
        <v>1.61</v>
      </c>
      <c r="AF34">
        <v>0.84149999999999903</v>
      </c>
      <c r="AG34">
        <v>1.61</v>
      </c>
      <c r="AH34">
        <v>2.6033333333333299</v>
      </c>
      <c r="AI34">
        <v>2.00199999999999</v>
      </c>
      <c r="AJ34">
        <v>2.6033333333333299</v>
      </c>
      <c r="AK34">
        <v>2.44</v>
      </c>
      <c r="AL34">
        <v>2.0265</v>
      </c>
      <c r="AM34">
        <v>2.44</v>
      </c>
      <c r="AN34">
        <v>3.7933333333333299</v>
      </c>
      <c r="AO34">
        <v>4</v>
      </c>
      <c r="AP34">
        <v>16.5220225915022</v>
      </c>
      <c r="AQ34">
        <v>17.891071700020898</v>
      </c>
      <c r="AR34">
        <v>17.206547145761601</v>
      </c>
      <c r="AS34">
        <v>0</v>
      </c>
      <c r="AT34">
        <v>0</v>
      </c>
      <c r="AU34">
        <v>0</v>
      </c>
      <c r="AV34">
        <v>0.331220689208446</v>
      </c>
      <c r="AW34">
        <v>1.7</v>
      </c>
      <c r="AX34">
        <v>0.36041184423727002</v>
      </c>
      <c r="AY34">
        <v>7.8796584186207094E-2</v>
      </c>
      <c r="AZ34">
        <v>0.55333333333333301</v>
      </c>
      <c r="BA34">
        <v>0.120475328998484</v>
      </c>
      <c r="BB34">
        <v>0.18784298484259601</v>
      </c>
      <c r="BC34">
        <v>0.99</v>
      </c>
      <c r="BD34">
        <v>0.22835732065519601</v>
      </c>
      <c r="BE34">
        <v>0.27890454290279298</v>
      </c>
      <c r="BF34">
        <v>0.85299999999999998</v>
      </c>
      <c r="BG34">
        <v>0.182475314363125</v>
      </c>
      <c r="BH34" t="b">
        <v>1</v>
      </c>
      <c r="BI34" t="s">
        <v>159</v>
      </c>
    </row>
    <row r="35" spans="1:61" x14ac:dyDescent="0.25">
      <c r="A35" t="s">
        <v>35</v>
      </c>
      <c r="B35">
        <v>10</v>
      </c>
      <c r="C35">
        <v>-0.19912272729340563</v>
      </c>
      <c r="D35">
        <v>0.54309419634018996</v>
      </c>
      <c r="E35">
        <v>163.80000000000001</v>
      </c>
      <c r="F35">
        <v>248.5</v>
      </c>
      <c r="G35">
        <v>0.87348934653381305</v>
      </c>
      <c r="H35">
        <v>0.10052205054538101</v>
      </c>
      <c r="I35">
        <v>0.38500000000000001</v>
      </c>
      <c r="J35">
        <v>2.0779999999999998</v>
      </c>
      <c r="K35">
        <v>1.4323999999999999</v>
      </c>
      <c r="L35">
        <v>6.5145675675675596</v>
      </c>
      <c r="M35">
        <v>0.91099999999999903</v>
      </c>
      <c r="N35">
        <v>0.57624999999999904</v>
      </c>
      <c r="O35">
        <v>0.91099999999999903</v>
      </c>
      <c r="P35">
        <v>2.363</v>
      </c>
      <c r="Q35">
        <v>1.45999999999999</v>
      </c>
      <c r="R35">
        <v>21.981499999999901</v>
      </c>
      <c r="S35">
        <v>0.97799999999999998</v>
      </c>
      <c r="T35">
        <v>0.51344999999999896</v>
      </c>
      <c r="U35">
        <v>0.97799999999999998</v>
      </c>
      <c r="V35">
        <v>1.48399999999999</v>
      </c>
      <c r="W35">
        <v>1.0507</v>
      </c>
      <c r="X35">
        <v>1.48399999999999</v>
      </c>
      <c r="Y35">
        <v>0.93200000000000005</v>
      </c>
      <c r="Z35">
        <v>0.517149999999999</v>
      </c>
      <c r="AA35">
        <v>0.93200000000000005</v>
      </c>
      <c r="AB35">
        <v>3.2480000000000002</v>
      </c>
      <c r="AC35">
        <v>2.3420499999999902</v>
      </c>
      <c r="AD35">
        <v>12.411</v>
      </c>
      <c r="AE35">
        <v>2.4180000000000001</v>
      </c>
      <c r="AF35">
        <v>1.18369999999999</v>
      </c>
      <c r="AG35">
        <v>2.4180000000000001</v>
      </c>
      <c r="AH35">
        <v>2.665</v>
      </c>
      <c r="AI35">
        <v>1.9703999999999899</v>
      </c>
      <c r="AJ35">
        <v>2.665</v>
      </c>
      <c r="AK35">
        <v>2.6379999999999999</v>
      </c>
      <c r="AL35">
        <v>2.0326</v>
      </c>
      <c r="AM35">
        <v>2.6379999999999999</v>
      </c>
      <c r="AN35">
        <v>3.77</v>
      </c>
      <c r="AO35">
        <v>4.2</v>
      </c>
      <c r="AP35">
        <v>34.572486037169497</v>
      </c>
      <c r="AQ35">
        <v>24.9809676064631</v>
      </c>
      <c r="AR35">
        <v>29.7767268218163</v>
      </c>
      <c r="AS35">
        <v>0</v>
      </c>
      <c r="AT35">
        <v>0</v>
      </c>
      <c r="AU35">
        <v>0</v>
      </c>
      <c r="AV35">
        <v>0.22860190822229501</v>
      </c>
      <c r="AW35">
        <v>1.492</v>
      </c>
      <c r="AX35">
        <v>0.280472463085364</v>
      </c>
      <c r="AY35">
        <v>8.0005676716861096E-2</v>
      </c>
      <c r="AZ35">
        <v>0.64200000000000002</v>
      </c>
      <c r="BA35">
        <v>0.12593568398166199</v>
      </c>
      <c r="BB35">
        <v>0.24884820723698001</v>
      </c>
      <c r="BC35">
        <v>1.75</v>
      </c>
      <c r="BD35">
        <v>0.32363209318054598</v>
      </c>
      <c r="BE35">
        <v>0.226184494638697</v>
      </c>
      <c r="BF35">
        <v>0.81420000000000003</v>
      </c>
      <c r="BG35">
        <v>0.156763907874265</v>
      </c>
      <c r="BH35" t="b">
        <v>1</v>
      </c>
      <c r="BI35" t="s">
        <v>164</v>
      </c>
    </row>
    <row r="36" spans="1:61" x14ac:dyDescent="0.25">
      <c r="A36" t="s">
        <v>36</v>
      </c>
      <c r="B36">
        <v>8</v>
      </c>
      <c r="C36">
        <f>AVERAGE(C4,C8,C19,C21,C23,C26,C41,C44,C45,C49,C51,C52,C55,C56,C58,C62,C63,C64)</f>
        <v>0.34464388478204705</v>
      </c>
      <c r="D36">
        <v>0.90348525469168905</v>
      </c>
      <c r="E36">
        <v>337</v>
      </c>
      <c r="F36">
        <v>373</v>
      </c>
      <c r="G36">
        <v>0.869258160237388</v>
      </c>
      <c r="H36">
        <v>9.1925735749210993E-2</v>
      </c>
      <c r="I36">
        <v>0.03</v>
      </c>
      <c r="J36">
        <v>2.68</v>
      </c>
      <c r="K36">
        <v>1.7050000000000001</v>
      </c>
      <c r="L36">
        <v>35.733333333333299</v>
      </c>
      <c r="M36">
        <v>0.78</v>
      </c>
      <c r="N36">
        <v>8.2500000000000004E-2</v>
      </c>
      <c r="O36">
        <v>0.78</v>
      </c>
      <c r="P36">
        <v>2.29</v>
      </c>
      <c r="Q36">
        <v>1.5375000000000001</v>
      </c>
      <c r="R36">
        <v>2.29</v>
      </c>
      <c r="S36">
        <v>0.79</v>
      </c>
      <c r="T36">
        <v>0.47</v>
      </c>
      <c r="U36">
        <v>0.79</v>
      </c>
      <c r="V36">
        <v>2.12</v>
      </c>
      <c r="W36">
        <v>1.1200000000000001</v>
      </c>
      <c r="X36">
        <v>2.12</v>
      </c>
      <c r="Y36">
        <v>1.56</v>
      </c>
      <c r="Z36">
        <v>0.6</v>
      </c>
      <c r="AA36">
        <v>1.56</v>
      </c>
      <c r="AB36">
        <v>4.47</v>
      </c>
      <c r="AC36">
        <v>2.0525000000000002</v>
      </c>
      <c r="AD36">
        <v>4.47</v>
      </c>
      <c r="AE36">
        <v>2.95</v>
      </c>
      <c r="AF36">
        <v>0.52249999999999996</v>
      </c>
      <c r="AG36">
        <v>2.95</v>
      </c>
      <c r="AH36">
        <v>2.57</v>
      </c>
      <c r="AI36">
        <v>1.79</v>
      </c>
      <c r="AJ36">
        <v>2.57</v>
      </c>
      <c r="AK36">
        <v>3.29</v>
      </c>
      <c r="AL36">
        <v>1.85</v>
      </c>
      <c r="AM36">
        <v>3.29</v>
      </c>
      <c r="AN36">
        <v>4.47</v>
      </c>
      <c r="AO36">
        <v>7</v>
      </c>
      <c r="AP36">
        <v>7.25413082253647</v>
      </c>
      <c r="AQ36">
        <v>18.249386151136399</v>
      </c>
      <c r="AR36">
        <v>12.751758486836399</v>
      </c>
      <c r="AS36">
        <v>0</v>
      </c>
      <c r="AT36">
        <v>0</v>
      </c>
      <c r="AU36">
        <v>0</v>
      </c>
      <c r="AV36">
        <v>0.26519402985074603</v>
      </c>
      <c r="AW36">
        <v>2.5499999999999998</v>
      </c>
      <c r="AX36">
        <v>0.271792075862543</v>
      </c>
      <c r="AY36">
        <v>1.94626865671641E-2</v>
      </c>
      <c r="AZ36">
        <v>0.49</v>
      </c>
      <c r="BA36">
        <v>6.6720698383502794E-2</v>
      </c>
      <c r="BB36">
        <v>0.28041791044776099</v>
      </c>
      <c r="BC36">
        <v>2.1800000000000002</v>
      </c>
      <c r="BD36">
        <v>0.31994188601288898</v>
      </c>
      <c r="BE36">
        <v>0.20040895522388</v>
      </c>
      <c r="BF36">
        <v>1.0640000000000001</v>
      </c>
      <c r="BG36">
        <v>0.123348758963008</v>
      </c>
      <c r="BH36" t="b">
        <v>0</v>
      </c>
    </row>
    <row r="37" spans="1:61" x14ac:dyDescent="0.25">
      <c r="A37" t="s">
        <v>37</v>
      </c>
      <c r="B37">
        <v>8</v>
      </c>
      <c r="C37">
        <v>-0.24192563473920259</v>
      </c>
      <c r="D37">
        <v>0.58607845185581398</v>
      </c>
      <c r="E37">
        <v>150.69999999999999</v>
      </c>
      <c r="F37">
        <v>257.60000000000002</v>
      </c>
      <c r="G37">
        <v>0.87627482038937998</v>
      </c>
      <c r="H37">
        <v>0.12830704721802899</v>
      </c>
      <c r="I37">
        <v>0.4</v>
      </c>
      <c r="J37">
        <v>2.24399999999999</v>
      </c>
      <c r="K37">
        <v>1.7172499999999999</v>
      </c>
      <c r="L37">
        <v>9.25386528343987</v>
      </c>
      <c r="M37">
        <v>0.69299999999999995</v>
      </c>
      <c r="N37">
        <v>0.35344999999999899</v>
      </c>
      <c r="O37">
        <v>0.69299999999999995</v>
      </c>
      <c r="P37">
        <v>1.8699999999999899</v>
      </c>
      <c r="Q37">
        <v>1.15109999999999</v>
      </c>
      <c r="R37">
        <v>2.5990451997061399</v>
      </c>
      <c r="S37">
        <v>1.6099999999999901</v>
      </c>
      <c r="T37">
        <v>0.685499999999999</v>
      </c>
      <c r="U37">
        <v>1.6099999999999901</v>
      </c>
      <c r="V37">
        <v>1.9490000000000001</v>
      </c>
      <c r="W37">
        <v>1.2428999999999899</v>
      </c>
      <c r="X37">
        <v>8.4499999999999993</v>
      </c>
      <c r="Y37">
        <v>0.97599999999999998</v>
      </c>
      <c r="Z37">
        <v>0.54529999999999901</v>
      </c>
      <c r="AA37">
        <v>0.97599999999999998</v>
      </c>
      <c r="AB37">
        <v>3.86499999999999</v>
      </c>
      <c r="AC37">
        <v>2.5270999999999999</v>
      </c>
      <c r="AD37">
        <v>5.1304782608695598</v>
      </c>
      <c r="AE37">
        <v>3.3699999999999899</v>
      </c>
      <c r="AF37">
        <v>1.6830499999999899</v>
      </c>
      <c r="AG37">
        <v>3.3699999999999899</v>
      </c>
      <c r="AH37">
        <v>3.5840000000000001</v>
      </c>
      <c r="AI37">
        <v>2.18814999999999</v>
      </c>
      <c r="AJ37">
        <v>3.5840000000000001</v>
      </c>
      <c r="AK37">
        <v>3.1040000000000001</v>
      </c>
      <c r="AL37">
        <v>2.1594500000000001</v>
      </c>
      <c r="AM37">
        <v>5.9191428571428499</v>
      </c>
      <c r="AN37">
        <v>4.20399999999999</v>
      </c>
      <c r="AO37">
        <v>5.7</v>
      </c>
      <c r="AP37">
        <v>11.983863042052599</v>
      </c>
      <c r="AQ37">
        <v>15.6617260936594</v>
      </c>
      <c r="AR37">
        <v>13.822794567856</v>
      </c>
      <c r="AS37">
        <v>0</v>
      </c>
      <c r="AT37">
        <v>0</v>
      </c>
      <c r="AU37">
        <v>0</v>
      </c>
      <c r="AV37">
        <v>0.29625779448627998</v>
      </c>
      <c r="AW37">
        <v>1.673</v>
      </c>
      <c r="AX37">
        <v>0.32665489947513299</v>
      </c>
      <c r="AY37">
        <v>6.3245878099611796E-2</v>
      </c>
      <c r="AZ37">
        <v>0.56599999999999995</v>
      </c>
      <c r="BA37">
        <v>0.104240986916794</v>
      </c>
      <c r="BB37">
        <v>0.231585661383438</v>
      </c>
      <c r="BC37">
        <v>1.38</v>
      </c>
      <c r="BD37">
        <v>0.25286118332790603</v>
      </c>
      <c r="BE37">
        <v>0.28543502688535499</v>
      </c>
      <c r="BF37">
        <v>1.1364000000000001</v>
      </c>
      <c r="BG37">
        <v>0.19198578638789501</v>
      </c>
      <c r="BH37" t="b">
        <v>1</v>
      </c>
      <c r="BI37" t="s">
        <v>158</v>
      </c>
    </row>
    <row r="38" spans="1:61" x14ac:dyDescent="0.25">
      <c r="A38" t="s">
        <v>38</v>
      </c>
      <c r="B38">
        <v>6</v>
      </c>
      <c r="C38">
        <v>0.35516143740031586</v>
      </c>
      <c r="D38">
        <v>0.30567329240962599</v>
      </c>
      <c r="E38">
        <v>49.6666666666666</v>
      </c>
      <c r="F38">
        <v>232.666666666666</v>
      </c>
      <c r="G38">
        <v>0.85571149318050499</v>
      </c>
      <c r="H38">
        <v>0.18860968278731899</v>
      </c>
      <c r="I38">
        <v>0.27666666666666601</v>
      </c>
      <c r="J38">
        <v>2.3133333333333299</v>
      </c>
      <c r="K38">
        <v>1.6943333333333299</v>
      </c>
      <c r="L38">
        <v>5.2117073170731603</v>
      </c>
      <c r="M38">
        <v>0.65333333333333299</v>
      </c>
      <c r="N38">
        <v>0.34266666666666601</v>
      </c>
      <c r="O38">
        <v>0.65333333333333299</v>
      </c>
      <c r="P38">
        <v>1.2433333333333301</v>
      </c>
      <c r="Q38">
        <v>0.97433333333333305</v>
      </c>
      <c r="R38">
        <v>1.2433333333333301</v>
      </c>
      <c r="S38">
        <v>0.93333333333333302</v>
      </c>
      <c r="T38">
        <v>0.67099999999999904</v>
      </c>
      <c r="U38">
        <v>0.93333333333333302</v>
      </c>
      <c r="V38">
        <v>1.96</v>
      </c>
      <c r="W38">
        <v>1.7914999999999901</v>
      </c>
      <c r="X38">
        <v>4.1946564885496098</v>
      </c>
      <c r="Y38">
        <v>0.483333333333333</v>
      </c>
      <c r="Z38">
        <v>0.311499999999999</v>
      </c>
      <c r="AA38">
        <v>0.483333333333333</v>
      </c>
      <c r="AB38">
        <v>3.5266666666666602</v>
      </c>
      <c r="AC38">
        <v>3.1329999999999898</v>
      </c>
      <c r="AD38">
        <v>3.5266666666666602</v>
      </c>
      <c r="AE38">
        <v>1.61</v>
      </c>
      <c r="AF38">
        <v>0.84149999999999903</v>
      </c>
      <c r="AG38">
        <v>1.61</v>
      </c>
      <c r="AH38">
        <v>2.6033333333333299</v>
      </c>
      <c r="AI38">
        <v>2.00199999999999</v>
      </c>
      <c r="AJ38">
        <v>2.6033333333333299</v>
      </c>
      <c r="AK38">
        <v>2.44</v>
      </c>
      <c r="AL38">
        <v>2.0265</v>
      </c>
      <c r="AM38">
        <v>2.44</v>
      </c>
      <c r="AN38">
        <v>3.7933333333333299</v>
      </c>
      <c r="AO38">
        <v>4</v>
      </c>
      <c r="AP38">
        <v>16.5220225915022</v>
      </c>
      <c r="AQ38">
        <v>17.891071700020898</v>
      </c>
      <c r="AR38">
        <v>17.206547145761601</v>
      </c>
      <c r="AS38">
        <v>0</v>
      </c>
      <c r="AT38">
        <v>0</v>
      </c>
      <c r="AU38">
        <v>0</v>
      </c>
      <c r="AV38">
        <v>0.331220689208446</v>
      </c>
      <c r="AW38">
        <v>1.7</v>
      </c>
      <c r="AX38">
        <v>0.36041184423727002</v>
      </c>
      <c r="AY38">
        <v>7.8796584186207094E-2</v>
      </c>
      <c r="AZ38">
        <v>0.55333333333333301</v>
      </c>
      <c r="BA38">
        <v>0.120475328998484</v>
      </c>
      <c r="BB38">
        <v>0.18784298484259601</v>
      </c>
      <c r="BC38">
        <v>0.99</v>
      </c>
      <c r="BD38">
        <v>0.22835732065519601</v>
      </c>
      <c r="BE38">
        <v>0.27890454290279298</v>
      </c>
      <c r="BF38">
        <v>0.85299999999999998</v>
      </c>
      <c r="BG38">
        <v>0.182475314363125</v>
      </c>
      <c r="BH38" t="b">
        <v>1</v>
      </c>
      <c r="BI38" t="s">
        <v>159</v>
      </c>
    </row>
    <row r="39" spans="1:61" x14ac:dyDescent="0.25">
      <c r="A39" t="s">
        <v>39</v>
      </c>
      <c r="B39">
        <v>7</v>
      </c>
      <c r="C39">
        <v>0.32099603595016063</v>
      </c>
      <c r="D39">
        <v>4.2763157894736802E-2</v>
      </c>
      <c r="E39">
        <v>13</v>
      </c>
      <c r="F39">
        <v>304</v>
      </c>
      <c r="G39">
        <v>0.96384615384615402</v>
      </c>
      <c r="H39">
        <v>5.8243520603648999E-2</v>
      </c>
      <c r="I39">
        <v>0.77</v>
      </c>
      <c r="J39">
        <v>1.7</v>
      </c>
      <c r="K39">
        <v>1.6659999999999999</v>
      </c>
      <c r="L39">
        <v>1.7</v>
      </c>
      <c r="M39">
        <v>0.74</v>
      </c>
      <c r="N39">
        <v>0.63799999999999901</v>
      </c>
      <c r="O39">
        <v>0.74</v>
      </c>
      <c r="P39">
        <v>3.12</v>
      </c>
      <c r="Q39">
        <v>2.4399999999999902</v>
      </c>
      <c r="R39">
        <v>3.12</v>
      </c>
      <c r="S39">
        <v>0.64</v>
      </c>
      <c r="T39">
        <v>0.45299999999999901</v>
      </c>
      <c r="U39">
        <v>0.64</v>
      </c>
      <c r="V39">
        <v>1.42</v>
      </c>
      <c r="W39">
        <v>1.16499999999999</v>
      </c>
      <c r="X39">
        <v>1.42</v>
      </c>
      <c r="Y39">
        <v>0.94</v>
      </c>
      <c r="Z39">
        <v>0.74449999999999905</v>
      </c>
      <c r="AA39">
        <v>0.94</v>
      </c>
      <c r="AB39">
        <v>2.2999999999999998</v>
      </c>
      <c r="AC39">
        <v>1.7729999999999899</v>
      </c>
      <c r="AD39">
        <v>2.2999999999999998</v>
      </c>
      <c r="AE39">
        <v>1.53</v>
      </c>
      <c r="AF39">
        <v>1.06249999999999</v>
      </c>
      <c r="AG39">
        <v>1.53</v>
      </c>
      <c r="AH39">
        <v>0.79</v>
      </c>
      <c r="AI39">
        <v>0.72199999999999898</v>
      </c>
      <c r="AJ39">
        <v>19.268292682926798</v>
      </c>
      <c r="AK39">
        <v>1.67</v>
      </c>
      <c r="AL39">
        <v>1.4489999999999901</v>
      </c>
      <c r="AM39">
        <v>59.642857142857103</v>
      </c>
      <c r="AN39">
        <v>3.12</v>
      </c>
      <c r="AO39">
        <v>2</v>
      </c>
      <c r="AP39">
        <v>56.189816387430596</v>
      </c>
      <c r="AQ39">
        <v>20.133934870074398</v>
      </c>
      <c r="AR39">
        <v>38.161875628752497</v>
      </c>
      <c r="AS39">
        <v>0</v>
      </c>
      <c r="AT39">
        <v>0</v>
      </c>
      <c r="AU39">
        <v>0</v>
      </c>
      <c r="AV39">
        <v>0.24</v>
      </c>
      <c r="AW39">
        <v>1.1200000000000001</v>
      </c>
      <c r="AX39">
        <v>0.352036094406107</v>
      </c>
      <c r="AY39">
        <v>0.14235294117646999</v>
      </c>
      <c r="AZ39">
        <v>0.74</v>
      </c>
      <c r="BA39">
        <v>0.19089662776316699</v>
      </c>
      <c r="BB39">
        <v>0.42588235294117599</v>
      </c>
      <c r="BC39">
        <v>3.12</v>
      </c>
      <c r="BD39">
        <v>0.71170928320925197</v>
      </c>
      <c r="BE39">
        <v>0.29858823529411699</v>
      </c>
      <c r="BF39">
        <v>0.999</v>
      </c>
      <c r="BG39">
        <v>0.203991366260071</v>
      </c>
      <c r="BH39" t="b">
        <v>0</v>
      </c>
    </row>
    <row r="40" spans="1:61" x14ac:dyDescent="0.25">
      <c r="A40" t="s">
        <v>40</v>
      </c>
      <c r="B40">
        <v>7</v>
      </c>
      <c r="C40">
        <v>0.26439806090956341</v>
      </c>
      <c r="D40">
        <v>0.809756097560975</v>
      </c>
      <c r="E40">
        <v>166</v>
      </c>
      <c r="F40">
        <v>205</v>
      </c>
      <c r="G40">
        <v>0.88945783132530098</v>
      </c>
      <c r="H40">
        <v>7.7163785069016902E-2</v>
      </c>
      <c r="I40">
        <v>0.77</v>
      </c>
      <c r="J40">
        <v>1.1499999999999999</v>
      </c>
      <c r="K40">
        <v>1.0149999999999999</v>
      </c>
      <c r="L40">
        <v>1.1499999999999999</v>
      </c>
      <c r="M40">
        <v>0.61</v>
      </c>
      <c r="N40">
        <v>0.22500000000000001</v>
      </c>
      <c r="O40">
        <v>0.61</v>
      </c>
      <c r="P40">
        <v>0.5</v>
      </c>
      <c r="Q40">
        <v>0.27750000000000002</v>
      </c>
      <c r="R40">
        <v>0.5</v>
      </c>
      <c r="S40">
        <v>0.54</v>
      </c>
      <c r="T40">
        <v>0.38750000000000001</v>
      </c>
      <c r="U40">
        <v>0.54</v>
      </c>
      <c r="V40">
        <v>1.41</v>
      </c>
      <c r="W40">
        <v>0.97</v>
      </c>
      <c r="X40">
        <v>1.41</v>
      </c>
      <c r="Y40">
        <v>0.59</v>
      </c>
      <c r="Z40">
        <v>0.23249999999999901</v>
      </c>
      <c r="AA40">
        <v>0.59</v>
      </c>
      <c r="AB40">
        <v>1.87</v>
      </c>
      <c r="AC40">
        <v>1.4325000000000001</v>
      </c>
      <c r="AD40">
        <v>1.87</v>
      </c>
      <c r="AE40">
        <v>1.19</v>
      </c>
      <c r="AF40">
        <v>0.75749999999999995</v>
      </c>
      <c r="AG40">
        <v>1.19</v>
      </c>
      <c r="AH40">
        <v>2.08</v>
      </c>
      <c r="AI40">
        <v>0.99</v>
      </c>
      <c r="AJ40">
        <v>2.08</v>
      </c>
      <c r="AK40">
        <v>1.8</v>
      </c>
      <c r="AL40">
        <v>1.3125</v>
      </c>
      <c r="AM40">
        <v>1.8</v>
      </c>
      <c r="AN40">
        <v>2.08</v>
      </c>
      <c r="AO40">
        <v>1</v>
      </c>
      <c r="AP40">
        <v>3.7884404611628</v>
      </c>
      <c r="AQ40">
        <v>8.0722976280145993</v>
      </c>
      <c r="AR40">
        <v>5.9303690445886996</v>
      </c>
      <c r="AS40">
        <v>0</v>
      </c>
      <c r="AT40">
        <v>0</v>
      </c>
      <c r="AU40">
        <v>0</v>
      </c>
      <c r="AV40">
        <v>0.17187878787878699</v>
      </c>
      <c r="AW40">
        <v>0.89</v>
      </c>
      <c r="AX40">
        <v>0.15696588271954101</v>
      </c>
      <c r="AY40">
        <v>2.2787878787878701E-2</v>
      </c>
      <c r="AZ40">
        <v>0.4</v>
      </c>
      <c r="BA40">
        <v>5.5197583157322601E-2</v>
      </c>
      <c r="BB40">
        <v>6.0484848484848398E-2</v>
      </c>
      <c r="BC40">
        <v>0.37</v>
      </c>
      <c r="BD40">
        <v>8.4364332982146503E-2</v>
      </c>
      <c r="BE40">
        <v>0.12893333333333301</v>
      </c>
      <c r="BF40">
        <v>0.45400000000000001</v>
      </c>
      <c r="BG40">
        <v>6.8752091611892802E-2</v>
      </c>
      <c r="BH40" t="b">
        <v>0</v>
      </c>
    </row>
    <row r="41" spans="1:61" x14ac:dyDescent="0.25">
      <c r="A41" t="s">
        <v>41</v>
      </c>
      <c r="B41">
        <v>8</v>
      </c>
      <c r="C41">
        <v>0.27837174187741365</v>
      </c>
      <c r="D41">
        <v>0.82490272373540796</v>
      </c>
      <c r="E41">
        <v>212</v>
      </c>
      <c r="F41">
        <v>257</v>
      </c>
      <c r="G41">
        <v>0.91235849056603702</v>
      </c>
      <c r="H41">
        <v>7.8051531000677105E-2</v>
      </c>
      <c r="I41">
        <v>0.77</v>
      </c>
      <c r="J41">
        <v>1.65</v>
      </c>
      <c r="K41">
        <v>1.2150000000000001</v>
      </c>
      <c r="L41">
        <v>1.65</v>
      </c>
      <c r="M41">
        <v>0.55000000000000004</v>
      </c>
      <c r="N41">
        <v>0.11</v>
      </c>
      <c r="O41">
        <v>0.55000000000000004</v>
      </c>
      <c r="P41">
        <v>1.73</v>
      </c>
      <c r="Q41">
        <v>0.625</v>
      </c>
      <c r="R41">
        <v>1.73</v>
      </c>
      <c r="S41">
        <v>1.75</v>
      </c>
      <c r="T41">
        <v>0.94</v>
      </c>
      <c r="U41">
        <v>1.75</v>
      </c>
      <c r="V41">
        <v>1.51</v>
      </c>
      <c r="W41">
        <v>1.0649999999999999</v>
      </c>
      <c r="X41">
        <v>1.51</v>
      </c>
      <c r="Y41">
        <v>0.61</v>
      </c>
      <c r="Z41">
        <v>0.39500000000000002</v>
      </c>
      <c r="AA41">
        <v>0.61</v>
      </c>
      <c r="AB41">
        <v>2.91</v>
      </c>
      <c r="AC41">
        <v>1.77</v>
      </c>
      <c r="AD41">
        <v>2.91</v>
      </c>
      <c r="AE41">
        <v>2.2999999999999998</v>
      </c>
      <c r="AF41">
        <v>0.92</v>
      </c>
      <c r="AG41">
        <v>2.2999999999999998</v>
      </c>
      <c r="AH41">
        <v>2.84</v>
      </c>
      <c r="AI41">
        <v>1.345</v>
      </c>
      <c r="AJ41">
        <v>2.84</v>
      </c>
      <c r="AK41">
        <v>2.61</v>
      </c>
      <c r="AL41">
        <v>1.9750000000000001</v>
      </c>
      <c r="AM41">
        <v>2.61</v>
      </c>
      <c r="AN41">
        <v>2.91</v>
      </c>
      <c r="AO41">
        <v>4</v>
      </c>
      <c r="AP41">
        <v>11.833798993362601</v>
      </c>
      <c r="AQ41">
        <v>10.644136094605299</v>
      </c>
      <c r="AR41">
        <v>11.238967543984</v>
      </c>
      <c r="AS41">
        <v>0</v>
      </c>
      <c r="AT41">
        <v>0</v>
      </c>
      <c r="AU41">
        <v>0</v>
      </c>
      <c r="AV41">
        <v>0.181238095238095</v>
      </c>
      <c r="AW41">
        <v>0.79999999999999905</v>
      </c>
      <c r="AX41">
        <v>0.175013987131343</v>
      </c>
      <c r="AY41">
        <v>1.96666666666666E-2</v>
      </c>
      <c r="AZ41">
        <v>0.55000000000000004</v>
      </c>
      <c r="BA41">
        <v>6.38255310412566E-2</v>
      </c>
      <c r="BB41">
        <v>7.1571428571428494E-2</v>
      </c>
      <c r="BC41">
        <v>1.06</v>
      </c>
      <c r="BD41">
        <v>0.15684966154420099</v>
      </c>
      <c r="BE41">
        <v>0.14874761904761899</v>
      </c>
      <c r="BF41">
        <v>0.55999999999999905</v>
      </c>
      <c r="BG41">
        <v>8.7733352071829696E-2</v>
      </c>
      <c r="BH41" t="b">
        <v>0</v>
      </c>
    </row>
    <row r="42" spans="1:61" x14ac:dyDescent="0.25">
      <c r="A42" t="s">
        <v>42</v>
      </c>
      <c r="B42">
        <v>9</v>
      </c>
      <c r="C42">
        <v>0.19294028985345402</v>
      </c>
      <c r="D42">
        <v>0.89937429585823703</v>
      </c>
      <c r="E42">
        <v>426.75</v>
      </c>
      <c r="F42">
        <v>458.5</v>
      </c>
      <c r="G42">
        <v>0.88362924935046305</v>
      </c>
      <c r="H42">
        <v>7.5336915747960295E-2</v>
      </c>
      <c r="I42">
        <v>0.215</v>
      </c>
      <c r="J42">
        <v>2.6524999999999999</v>
      </c>
      <c r="K42">
        <v>1.5282499999999899</v>
      </c>
      <c r="L42">
        <v>31.524063657721101</v>
      </c>
      <c r="M42">
        <v>0.85499999999999998</v>
      </c>
      <c r="N42">
        <v>0.278249999999998</v>
      </c>
      <c r="O42">
        <v>0.85499999999999998</v>
      </c>
      <c r="P42">
        <v>2.1349999999999998</v>
      </c>
      <c r="Q42">
        <v>1.3002499999999899</v>
      </c>
      <c r="R42">
        <v>2.1349999999999998</v>
      </c>
      <c r="S42">
        <v>0.85250000000000004</v>
      </c>
      <c r="T42">
        <v>0.48149999999999898</v>
      </c>
      <c r="U42">
        <v>0.85250000000000004</v>
      </c>
      <c r="V42">
        <v>2.125</v>
      </c>
      <c r="W42">
        <v>1.1719999999999899</v>
      </c>
      <c r="X42">
        <v>2.125</v>
      </c>
      <c r="Y42">
        <v>1.37</v>
      </c>
      <c r="Z42">
        <v>0.67824999999999902</v>
      </c>
      <c r="AA42">
        <v>1.37</v>
      </c>
      <c r="AB42">
        <v>4.1100000000000003</v>
      </c>
      <c r="AC42">
        <v>2.1369999999999898</v>
      </c>
      <c r="AD42">
        <v>4.1100000000000003</v>
      </c>
      <c r="AE42">
        <v>2.4075000000000002</v>
      </c>
      <c r="AF42">
        <v>0.60449999999999904</v>
      </c>
      <c r="AG42">
        <v>2.4075000000000002</v>
      </c>
      <c r="AH42">
        <v>2.99</v>
      </c>
      <c r="AI42">
        <v>1.8667499999999899</v>
      </c>
      <c r="AJ42">
        <v>2.99</v>
      </c>
      <c r="AK42">
        <v>2.92</v>
      </c>
      <c r="AL42">
        <v>1.8592499999999901</v>
      </c>
      <c r="AM42">
        <v>2.92</v>
      </c>
      <c r="AN42">
        <v>4.1100000000000003</v>
      </c>
      <c r="AO42">
        <v>6.5</v>
      </c>
      <c r="AP42">
        <v>8.6760743585181306</v>
      </c>
      <c r="AQ42">
        <v>14.460929528745501</v>
      </c>
      <c r="AR42">
        <v>11.5685019436318</v>
      </c>
      <c r="AS42">
        <v>0</v>
      </c>
      <c r="AT42">
        <v>0</v>
      </c>
      <c r="AU42">
        <v>0</v>
      </c>
      <c r="AV42">
        <v>0.25496015602986699</v>
      </c>
      <c r="AW42">
        <v>2.3675000000000002</v>
      </c>
      <c r="AX42">
        <v>0.26072524487061</v>
      </c>
      <c r="AY42">
        <v>3.1983031213800299E-2</v>
      </c>
      <c r="AZ42">
        <v>0.65</v>
      </c>
      <c r="BA42">
        <v>9.5686393908761297E-2</v>
      </c>
      <c r="BB42">
        <v>0.226530482960771</v>
      </c>
      <c r="BC42">
        <v>2.0299999999999998</v>
      </c>
      <c r="BD42">
        <v>0.27362915619890399</v>
      </c>
      <c r="BE42">
        <v>0.192485345050248</v>
      </c>
      <c r="BF42">
        <v>0.90949999999999998</v>
      </c>
      <c r="BG42">
        <v>0.11611188060524399</v>
      </c>
      <c r="BH42" t="b">
        <v>1</v>
      </c>
      <c r="BI42" t="s">
        <v>160</v>
      </c>
    </row>
    <row r="43" spans="1:61" x14ac:dyDescent="0.25">
      <c r="A43" t="s">
        <v>43</v>
      </c>
      <c r="B43">
        <v>9</v>
      </c>
      <c r="C43">
        <v>0.16749918369794492</v>
      </c>
      <c r="D43">
        <v>0.89937429585823703</v>
      </c>
      <c r="E43">
        <v>426.75</v>
      </c>
      <c r="F43">
        <v>458.5</v>
      </c>
      <c r="G43">
        <v>0.88362924935046305</v>
      </c>
      <c r="H43">
        <v>7.5336915747960295E-2</v>
      </c>
      <c r="I43">
        <v>0.215</v>
      </c>
      <c r="J43">
        <v>2.6524999999999999</v>
      </c>
      <c r="K43">
        <v>1.5282499999999899</v>
      </c>
      <c r="L43">
        <v>31.524063657721101</v>
      </c>
      <c r="M43">
        <v>0.85499999999999998</v>
      </c>
      <c r="N43">
        <v>0.278249999999998</v>
      </c>
      <c r="O43">
        <v>0.85499999999999998</v>
      </c>
      <c r="P43">
        <v>2.1349999999999998</v>
      </c>
      <c r="Q43">
        <v>1.3002499999999899</v>
      </c>
      <c r="R43">
        <v>2.1349999999999998</v>
      </c>
      <c r="S43">
        <v>0.85250000000000004</v>
      </c>
      <c r="T43">
        <v>0.48149999999999898</v>
      </c>
      <c r="U43">
        <v>0.85250000000000004</v>
      </c>
      <c r="V43">
        <v>2.125</v>
      </c>
      <c r="W43">
        <v>1.1719999999999899</v>
      </c>
      <c r="X43">
        <v>2.125</v>
      </c>
      <c r="Y43">
        <v>1.37</v>
      </c>
      <c r="Z43">
        <v>0.67824999999999902</v>
      </c>
      <c r="AA43">
        <v>1.37</v>
      </c>
      <c r="AB43">
        <v>4.1100000000000003</v>
      </c>
      <c r="AC43">
        <v>2.1369999999999898</v>
      </c>
      <c r="AD43">
        <v>4.1100000000000003</v>
      </c>
      <c r="AE43">
        <v>2.4075000000000002</v>
      </c>
      <c r="AF43">
        <v>0.60449999999999904</v>
      </c>
      <c r="AG43">
        <v>2.4075000000000002</v>
      </c>
      <c r="AH43">
        <v>2.99</v>
      </c>
      <c r="AI43">
        <v>1.8667499999999899</v>
      </c>
      <c r="AJ43">
        <v>2.99</v>
      </c>
      <c r="AK43">
        <v>2.92</v>
      </c>
      <c r="AL43">
        <v>1.8592499999999901</v>
      </c>
      <c r="AM43">
        <v>2.92</v>
      </c>
      <c r="AN43">
        <v>4.1100000000000003</v>
      </c>
      <c r="AO43">
        <v>6.5</v>
      </c>
      <c r="AP43">
        <v>8.6760743585181306</v>
      </c>
      <c r="AQ43">
        <v>14.460929528745501</v>
      </c>
      <c r="AR43">
        <v>11.5685019436318</v>
      </c>
      <c r="AS43">
        <v>0</v>
      </c>
      <c r="AT43">
        <v>0</v>
      </c>
      <c r="AU43">
        <v>0</v>
      </c>
      <c r="AV43">
        <v>0.25496015602986699</v>
      </c>
      <c r="AW43">
        <v>2.3675000000000002</v>
      </c>
      <c r="AX43">
        <v>0.26072524487061</v>
      </c>
      <c r="AY43">
        <v>3.1983031213800299E-2</v>
      </c>
      <c r="AZ43">
        <v>0.65</v>
      </c>
      <c r="BA43">
        <v>9.5686393908761297E-2</v>
      </c>
      <c r="BB43">
        <v>0.226530482960771</v>
      </c>
      <c r="BC43">
        <v>2.0299999999999998</v>
      </c>
      <c r="BD43">
        <v>0.27362915619890399</v>
      </c>
      <c r="BE43">
        <v>0.192485345050248</v>
      </c>
      <c r="BF43">
        <v>0.90949999999999998</v>
      </c>
      <c r="BG43">
        <v>0.11611188060524399</v>
      </c>
      <c r="BH43" t="b">
        <v>1</v>
      </c>
      <c r="BI43" t="s">
        <v>160</v>
      </c>
    </row>
    <row r="44" spans="1:61" x14ac:dyDescent="0.25">
      <c r="A44" t="s">
        <v>44</v>
      </c>
      <c r="B44">
        <v>8</v>
      </c>
      <c r="C44">
        <v>0.14152612676689838</v>
      </c>
      <c r="D44">
        <v>0.83152173913043403</v>
      </c>
      <c r="E44">
        <v>153</v>
      </c>
      <c r="F44">
        <v>184</v>
      </c>
      <c r="G44">
        <v>0.86385620915032602</v>
      </c>
      <c r="H44">
        <v>7.9008029097368898E-2</v>
      </c>
      <c r="I44">
        <v>0.77</v>
      </c>
      <c r="J44">
        <v>2.16</v>
      </c>
      <c r="K44">
        <v>1.8180000000000001</v>
      </c>
      <c r="L44">
        <v>2.16</v>
      </c>
      <c r="M44">
        <v>0.77</v>
      </c>
      <c r="N44">
        <v>0.37</v>
      </c>
      <c r="O44">
        <v>0.77</v>
      </c>
      <c r="P44">
        <v>2</v>
      </c>
      <c r="Q44">
        <v>0.875999999999999</v>
      </c>
      <c r="R44">
        <v>2</v>
      </c>
      <c r="S44">
        <v>3.1</v>
      </c>
      <c r="T44">
        <v>1.1099999999999901</v>
      </c>
      <c r="U44">
        <v>3.1</v>
      </c>
      <c r="V44">
        <v>2.64</v>
      </c>
      <c r="W44">
        <v>0.997999999999999</v>
      </c>
      <c r="X44">
        <v>2.64</v>
      </c>
      <c r="Y44">
        <v>1.43</v>
      </c>
      <c r="Z44">
        <v>0.97</v>
      </c>
      <c r="AA44">
        <v>1.43</v>
      </c>
      <c r="AB44">
        <v>5</v>
      </c>
      <c r="AC44">
        <v>3.02</v>
      </c>
      <c r="AD44">
        <v>5</v>
      </c>
      <c r="AE44">
        <v>5</v>
      </c>
      <c r="AF44">
        <v>3.1019999999999901</v>
      </c>
      <c r="AG44">
        <v>5</v>
      </c>
      <c r="AH44">
        <v>5</v>
      </c>
      <c r="AI44">
        <v>1.5859999999999901</v>
      </c>
      <c r="AJ44">
        <v>5</v>
      </c>
      <c r="AK44">
        <v>2.9</v>
      </c>
      <c r="AL44">
        <v>2.0219999999999998</v>
      </c>
      <c r="AM44">
        <v>2.9</v>
      </c>
      <c r="AN44">
        <v>5</v>
      </c>
      <c r="AO44">
        <v>7</v>
      </c>
      <c r="AP44">
        <v>7.1975207952657501</v>
      </c>
      <c r="AQ44">
        <v>12.912144501854399</v>
      </c>
      <c r="AR44">
        <v>10.054832648560099</v>
      </c>
      <c r="AS44">
        <v>0</v>
      </c>
      <c r="AT44">
        <v>0</v>
      </c>
      <c r="AU44">
        <v>0</v>
      </c>
      <c r="AV44">
        <v>0.34912162162162103</v>
      </c>
      <c r="AW44">
        <v>1.77</v>
      </c>
      <c r="AX44">
        <v>0.36688596257216599</v>
      </c>
      <c r="AY44">
        <v>6.2027027027026997E-2</v>
      </c>
      <c r="AZ44">
        <v>0.77</v>
      </c>
      <c r="BA44">
        <v>0.118098444159028</v>
      </c>
      <c r="BB44">
        <v>0.128783783783783</v>
      </c>
      <c r="BC44">
        <v>1.91</v>
      </c>
      <c r="BD44">
        <v>0.30943257879239999</v>
      </c>
      <c r="BE44">
        <v>0.29665540540540503</v>
      </c>
      <c r="BF44">
        <v>1.5619999999999901</v>
      </c>
      <c r="BG44">
        <v>0.25873156580992801</v>
      </c>
      <c r="BH44" t="b">
        <v>0</v>
      </c>
    </row>
    <row r="45" spans="1:61" x14ac:dyDescent="0.25">
      <c r="A45" t="s">
        <v>45</v>
      </c>
      <c r="B45">
        <v>8</v>
      </c>
      <c r="C45">
        <v>0.14947805629502378</v>
      </c>
      <c r="D45">
        <v>0.83750000000000002</v>
      </c>
      <c r="E45">
        <v>201</v>
      </c>
      <c r="F45">
        <v>240</v>
      </c>
      <c r="G45">
        <v>0.86313432835820902</v>
      </c>
      <c r="H45">
        <v>8.1262702795757605E-2</v>
      </c>
      <c r="I45">
        <v>0.77</v>
      </c>
      <c r="J45">
        <v>2.2599999999999998</v>
      </c>
      <c r="K45">
        <v>1.89</v>
      </c>
      <c r="L45">
        <v>2.2599999999999998</v>
      </c>
      <c r="M45">
        <v>0.77</v>
      </c>
      <c r="N45">
        <v>0.32999999999999902</v>
      </c>
      <c r="O45">
        <v>0.77</v>
      </c>
      <c r="P45">
        <v>2</v>
      </c>
      <c r="Q45">
        <v>0.67399999999999904</v>
      </c>
      <c r="R45">
        <v>2</v>
      </c>
      <c r="S45">
        <v>3.09</v>
      </c>
      <c r="T45">
        <v>0.90799999999999903</v>
      </c>
      <c r="U45">
        <v>3.09</v>
      </c>
      <c r="V45">
        <v>2.64</v>
      </c>
      <c r="W45">
        <v>1.1519999999999899</v>
      </c>
      <c r="X45">
        <v>2.64</v>
      </c>
      <c r="Y45">
        <v>1.43</v>
      </c>
      <c r="Z45">
        <v>0.91799999999999904</v>
      </c>
      <c r="AA45">
        <v>1.43</v>
      </c>
      <c r="AB45">
        <v>5</v>
      </c>
      <c r="AC45">
        <v>2.9479999999999902</v>
      </c>
      <c r="AD45">
        <v>5</v>
      </c>
      <c r="AE45">
        <v>5</v>
      </c>
      <c r="AF45">
        <v>2.2579999999999898</v>
      </c>
      <c r="AG45">
        <v>5</v>
      </c>
      <c r="AH45">
        <v>5</v>
      </c>
      <c r="AI45">
        <v>1.73199999999999</v>
      </c>
      <c r="AJ45">
        <v>5</v>
      </c>
      <c r="AK45">
        <v>3.14</v>
      </c>
      <c r="AL45">
        <v>2.2599999999999998</v>
      </c>
      <c r="AM45">
        <v>3.14</v>
      </c>
      <c r="AN45">
        <v>5</v>
      </c>
      <c r="AO45">
        <v>7</v>
      </c>
      <c r="AP45">
        <v>6.6234538504290503</v>
      </c>
      <c r="AQ45">
        <v>12.6520687241613</v>
      </c>
      <c r="AR45">
        <v>9.6377612872952003</v>
      </c>
      <c r="AS45">
        <v>0</v>
      </c>
      <c r="AT45">
        <v>0</v>
      </c>
      <c r="AU45">
        <v>0</v>
      </c>
      <c r="AV45">
        <v>0.35030612244897902</v>
      </c>
      <c r="AW45">
        <v>1.77</v>
      </c>
      <c r="AX45">
        <v>0.35039759947467902</v>
      </c>
      <c r="AY45">
        <v>6.1836734693877501E-2</v>
      </c>
      <c r="AZ45">
        <v>0.77</v>
      </c>
      <c r="BA45">
        <v>0.113881848357216</v>
      </c>
      <c r="BB45">
        <v>0.123877551020408</v>
      </c>
      <c r="BC45">
        <v>1.91</v>
      </c>
      <c r="BD45">
        <v>0.28216413175870703</v>
      </c>
      <c r="BE45">
        <v>0.29315306122448898</v>
      </c>
      <c r="BF45">
        <v>1.5599999999999901</v>
      </c>
      <c r="BG45">
        <v>0.23945300557391999</v>
      </c>
      <c r="BH45" t="b">
        <v>0</v>
      </c>
    </row>
    <row r="46" spans="1:61" x14ac:dyDescent="0.25">
      <c r="A46" t="s">
        <v>46</v>
      </c>
      <c r="B46">
        <v>6</v>
      </c>
      <c r="C46">
        <v>0.27821119130680261</v>
      </c>
      <c r="D46">
        <v>0.23106060606060599</v>
      </c>
      <c r="E46">
        <v>61</v>
      </c>
      <c r="F46">
        <v>264</v>
      </c>
      <c r="G46">
        <v>0.93754098360655702</v>
      </c>
      <c r="H46">
        <v>0.128771836176819</v>
      </c>
      <c r="I46">
        <v>0.03</v>
      </c>
      <c r="J46">
        <v>2.23</v>
      </c>
      <c r="K46">
        <v>1.8049999999999999</v>
      </c>
      <c r="L46">
        <v>2.23</v>
      </c>
      <c r="M46">
        <v>0.81</v>
      </c>
      <c r="N46">
        <v>0.16699999999999901</v>
      </c>
      <c r="O46">
        <v>0.81</v>
      </c>
      <c r="P46">
        <v>2.86</v>
      </c>
      <c r="Q46">
        <v>2.2429999999999999</v>
      </c>
      <c r="R46">
        <v>2.86</v>
      </c>
      <c r="S46">
        <v>1.89</v>
      </c>
      <c r="T46">
        <v>1.4059999999999999</v>
      </c>
      <c r="U46">
        <v>1.89</v>
      </c>
      <c r="V46">
        <v>1.33</v>
      </c>
      <c r="W46">
        <v>0.93899999999999895</v>
      </c>
      <c r="X46">
        <v>1.33</v>
      </c>
      <c r="Y46">
        <v>0.74</v>
      </c>
      <c r="Z46">
        <v>0.47</v>
      </c>
      <c r="AA46">
        <v>0.74</v>
      </c>
      <c r="AB46">
        <v>4.38</v>
      </c>
      <c r="AC46">
        <v>3.6579999999999999</v>
      </c>
      <c r="AD46">
        <v>4.38</v>
      </c>
      <c r="AE46">
        <v>1.72</v>
      </c>
      <c r="AF46">
        <v>1.2049999999999901</v>
      </c>
      <c r="AG46">
        <v>1.72</v>
      </c>
      <c r="AH46">
        <v>1.43</v>
      </c>
      <c r="AI46">
        <v>1.1849999999999901</v>
      </c>
      <c r="AJ46">
        <v>1.43</v>
      </c>
      <c r="AK46">
        <v>2.72</v>
      </c>
      <c r="AL46">
        <v>2.0990000000000002</v>
      </c>
      <c r="AM46">
        <v>2.72</v>
      </c>
      <c r="AN46">
        <v>4.38</v>
      </c>
      <c r="AO46">
        <v>4</v>
      </c>
      <c r="AP46">
        <v>24.627276474764301</v>
      </c>
      <c r="AQ46">
        <v>29.538899899611199</v>
      </c>
      <c r="AR46">
        <v>27.083088187187801</v>
      </c>
      <c r="AS46">
        <v>0</v>
      </c>
      <c r="AT46">
        <v>0</v>
      </c>
      <c r="AU46">
        <v>0</v>
      </c>
      <c r="AV46">
        <v>0.40435483870967698</v>
      </c>
      <c r="AW46">
        <v>1.7</v>
      </c>
      <c r="AX46">
        <v>0.41859450302226597</v>
      </c>
      <c r="AY46">
        <v>5.3548387096774099E-2</v>
      </c>
      <c r="AZ46">
        <v>0.76</v>
      </c>
      <c r="BA46">
        <v>0.132860547485111</v>
      </c>
      <c r="BB46">
        <v>0.37370967741935401</v>
      </c>
      <c r="BC46">
        <v>2.1</v>
      </c>
      <c r="BD46">
        <v>0.42203513793081598</v>
      </c>
      <c r="BE46">
        <v>0.26419354838709602</v>
      </c>
      <c r="BF46">
        <v>0.72699999999999998</v>
      </c>
      <c r="BG46">
        <v>0.16474289242191201</v>
      </c>
      <c r="BH46" t="b">
        <v>0</v>
      </c>
    </row>
    <row r="47" spans="1:61" x14ac:dyDescent="0.25">
      <c r="A47" t="s">
        <v>47</v>
      </c>
      <c r="B47">
        <v>7</v>
      </c>
      <c r="C47">
        <v>-0.71237096495889252</v>
      </c>
      <c r="D47">
        <v>0.218934911242603</v>
      </c>
      <c r="E47">
        <v>74</v>
      </c>
      <c r="F47">
        <v>338</v>
      </c>
      <c r="G47">
        <v>0.930675675675676</v>
      </c>
      <c r="H47">
        <v>0.120924872874335</v>
      </c>
      <c r="I47">
        <v>0.03</v>
      </c>
      <c r="J47">
        <v>2.33</v>
      </c>
      <c r="K47">
        <v>2.214</v>
      </c>
      <c r="L47">
        <v>122.631578947368</v>
      </c>
      <c r="M47">
        <v>0.75</v>
      </c>
      <c r="N47">
        <v>0.314999999999999</v>
      </c>
      <c r="O47">
        <v>0.75</v>
      </c>
      <c r="P47">
        <v>2.23</v>
      </c>
      <c r="Q47">
        <v>2.0405000000000002</v>
      </c>
      <c r="R47">
        <v>139.37499999999901</v>
      </c>
      <c r="S47">
        <v>0.99</v>
      </c>
      <c r="T47">
        <v>0.45749999999999902</v>
      </c>
      <c r="U47">
        <v>0.99</v>
      </c>
      <c r="V47">
        <v>2.0099999999999998</v>
      </c>
      <c r="W47">
        <v>1.4970000000000001</v>
      </c>
      <c r="X47">
        <v>2.0099999999999998</v>
      </c>
      <c r="Y47">
        <v>1.2</v>
      </c>
      <c r="Z47">
        <v>0.88399999999999901</v>
      </c>
      <c r="AA47">
        <v>1.2</v>
      </c>
      <c r="AB47">
        <v>4.97</v>
      </c>
      <c r="AC47">
        <v>2.1234999999999999</v>
      </c>
      <c r="AD47">
        <v>108.04347826086899</v>
      </c>
      <c r="AE47">
        <v>2.0699999999999998</v>
      </c>
      <c r="AF47">
        <v>1.0814999999999899</v>
      </c>
      <c r="AG47">
        <v>2.0699999999999998</v>
      </c>
      <c r="AH47">
        <v>3.18</v>
      </c>
      <c r="AI47">
        <v>1.931</v>
      </c>
      <c r="AJ47">
        <v>3.18</v>
      </c>
      <c r="AK47">
        <v>2.92</v>
      </c>
      <c r="AL47">
        <v>2.1799999999999899</v>
      </c>
      <c r="AM47">
        <v>2.92</v>
      </c>
      <c r="AN47">
        <v>4.97</v>
      </c>
      <c r="AO47">
        <v>7</v>
      </c>
      <c r="AP47">
        <v>39.102116787494602</v>
      </c>
      <c r="AQ47">
        <v>20.949339341857002</v>
      </c>
      <c r="AR47">
        <v>30.0257280646758</v>
      </c>
      <c r="AS47">
        <v>0</v>
      </c>
      <c r="AT47">
        <v>0</v>
      </c>
      <c r="AU47">
        <v>0</v>
      </c>
      <c r="AV47">
        <v>0.46931506849315002</v>
      </c>
      <c r="AW47">
        <v>2.29</v>
      </c>
      <c r="AX47">
        <v>0.45577670802834902</v>
      </c>
      <c r="AY47">
        <v>6.6849315068493106E-2</v>
      </c>
      <c r="AZ47">
        <v>0.52</v>
      </c>
      <c r="BA47">
        <v>0.10716619678055</v>
      </c>
      <c r="BB47">
        <v>0.58780821917808201</v>
      </c>
      <c r="BC47">
        <v>2.0299999999999998</v>
      </c>
      <c r="BD47">
        <v>0.48048561786336602</v>
      </c>
      <c r="BE47">
        <v>0.34908219178082101</v>
      </c>
      <c r="BF47">
        <v>1.0529999999999999</v>
      </c>
      <c r="BG47">
        <v>0.18885231987974899</v>
      </c>
      <c r="BH47" t="b">
        <v>0</v>
      </c>
    </row>
    <row r="48" spans="1:61" x14ac:dyDescent="0.25">
      <c r="A48" t="s">
        <v>48</v>
      </c>
      <c r="B48">
        <v>6</v>
      </c>
      <c r="C48">
        <v>9.1048609919896079E-2</v>
      </c>
      <c r="D48">
        <v>1.9292604501607701E-2</v>
      </c>
      <c r="E48">
        <v>6</v>
      </c>
      <c r="F48">
        <v>311</v>
      </c>
      <c r="G48">
        <v>0.71666666666666601</v>
      </c>
      <c r="H48">
        <v>0.351776444161155</v>
      </c>
      <c r="I48">
        <v>0.03</v>
      </c>
      <c r="J48">
        <v>1.21</v>
      </c>
      <c r="K48">
        <v>0.993999999999999</v>
      </c>
      <c r="L48">
        <v>1.21</v>
      </c>
      <c r="M48">
        <v>0.77</v>
      </c>
      <c r="N48">
        <v>0.67399999999999904</v>
      </c>
      <c r="O48">
        <v>0.77</v>
      </c>
      <c r="P48">
        <v>0.68</v>
      </c>
      <c r="Q48">
        <v>0.68</v>
      </c>
      <c r="R48">
        <v>0.68</v>
      </c>
      <c r="S48">
        <v>0.08</v>
      </c>
      <c r="T48">
        <v>0.08</v>
      </c>
      <c r="U48">
        <v>0.08</v>
      </c>
      <c r="V48">
        <v>2.17</v>
      </c>
      <c r="W48">
        <v>2.17</v>
      </c>
      <c r="X48">
        <v>2.17</v>
      </c>
      <c r="Y48">
        <v>0.47</v>
      </c>
      <c r="Z48">
        <v>0.41599999999999898</v>
      </c>
      <c r="AA48">
        <v>0.47</v>
      </c>
      <c r="AB48">
        <v>2.58</v>
      </c>
      <c r="AC48">
        <v>2.58</v>
      </c>
      <c r="AD48">
        <v>2.58</v>
      </c>
      <c r="AE48">
        <v>0.77</v>
      </c>
      <c r="AF48">
        <v>0.77</v>
      </c>
      <c r="AG48">
        <v>0.77</v>
      </c>
      <c r="AH48">
        <v>1.96</v>
      </c>
      <c r="AI48">
        <v>1.78599999999999</v>
      </c>
      <c r="AJ48">
        <v>1.96</v>
      </c>
      <c r="AK48">
        <v>1.77</v>
      </c>
      <c r="AL48">
        <v>1.70999999999999</v>
      </c>
      <c r="AM48">
        <v>1.77</v>
      </c>
      <c r="AN48">
        <v>2.58</v>
      </c>
      <c r="AO48">
        <v>2</v>
      </c>
      <c r="AP48">
        <v>20.262640732164499</v>
      </c>
      <c r="AQ48">
        <v>13.232372146479401</v>
      </c>
      <c r="AR48">
        <v>16.747506439321899</v>
      </c>
      <c r="AS48">
        <v>0</v>
      </c>
      <c r="AT48">
        <v>0</v>
      </c>
      <c r="AU48">
        <v>0</v>
      </c>
      <c r="AV48">
        <v>0.157499999999999</v>
      </c>
      <c r="AW48">
        <v>0.52</v>
      </c>
      <c r="AX48">
        <v>0.19391256620790001</v>
      </c>
      <c r="AY48">
        <v>0.15416666666666601</v>
      </c>
      <c r="AZ48">
        <v>0.61</v>
      </c>
      <c r="BA48">
        <v>0.16923643881334199</v>
      </c>
      <c r="BB48">
        <v>0.184999999999999</v>
      </c>
      <c r="BC48">
        <v>0.68</v>
      </c>
      <c r="BD48">
        <v>0.23389812597225601</v>
      </c>
      <c r="BE48">
        <v>0.30583333333333301</v>
      </c>
      <c r="BF48">
        <v>0.61699999999999999</v>
      </c>
      <c r="BG48">
        <v>0.19397801994613201</v>
      </c>
      <c r="BH48" t="b">
        <v>0</v>
      </c>
    </row>
    <row r="49" spans="1:61" x14ac:dyDescent="0.25">
      <c r="A49" t="s">
        <v>49</v>
      </c>
      <c r="B49">
        <v>8</v>
      </c>
      <c r="C49">
        <v>9.4269123146653866E-2</v>
      </c>
      <c r="D49">
        <v>1.76767676767676E-2</v>
      </c>
      <c r="E49">
        <v>7</v>
      </c>
      <c r="F49">
        <v>396</v>
      </c>
      <c r="G49">
        <v>0.754285714285714</v>
      </c>
      <c r="H49">
        <v>0.336197221030411</v>
      </c>
      <c r="I49">
        <v>0.03</v>
      </c>
      <c r="J49">
        <v>1.21</v>
      </c>
      <c r="K49">
        <v>0.95799999999999896</v>
      </c>
      <c r="L49">
        <v>1.21</v>
      </c>
      <c r="M49">
        <v>0.77</v>
      </c>
      <c r="N49">
        <v>0.65799999999999903</v>
      </c>
      <c r="O49">
        <v>0.77</v>
      </c>
      <c r="P49">
        <v>0.68</v>
      </c>
      <c r="Q49">
        <v>0.68</v>
      </c>
      <c r="R49">
        <v>0.68</v>
      </c>
      <c r="S49">
        <v>0.18</v>
      </c>
      <c r="T49">
        <v>0.158999999999999</v>
      </c>
      <c r="U49">
        <v>0.18</v>
      </c>
      <c r="V49">
        <v>2.17</v>
      </c>
      <c r="W49">
        <v>2.17</v>
      </c>
      <c r="X49">
        <v>2.17</v>
      </c>
      <c r="Y49">
        <v>0.5</v>
      </c>
      <c r="Z49">
        <v>0.5</v>
      </c>
      <c r="AA49">
        <v>0.5</v>
      </c>
      <c r="AB49">
        <v>2.08</v>
      </c>
      <c r="AC49">
        <v>2.08</v>
      </c>
      <c r="AD49">
        <v>2.08</v>
      </c>
      <c r="AE49">
        <v>0.92</v>
      </c>
      <c r="AF49">
        <v>0.88500000000000001</v>
      </c>
      <c r="AG49">
        <v>0.92</v>
      </c>
      <c r="AH49">
        <v>1.95</v>
      </c>
      <c r="AI49">
        <v>1.75399999999999</v>
      </c>
      <c r="AJ49">
        <v>1.95</v>
      </c>
      <c r="AK49">
        <v>1.62</v>
      </c>
      <c r="AL49">
        <v>1.4449999999999901</v>
      </c>
      <c r="AM49">
        <v>1.62</v>
      </c>
      <c r="AN49">
        <v>2.17</v>
      </c>
      <c r="AO49">
        <v>2</v>
      </c>
      <c r="AP49">
        <v>27.747594597570501</v>
      </c>
      <c r="AQ49">
        <v>27.873755336675298</v>
      </c>
      <c r="AR49">
        <v>27.8106749671229</v>
      </c>
      <c r="AS49">
        <v>0</v>
      </c>
      <c r="AT49">
        <v>0</v>
      </c>
      <c r="AU49">
        <v>0</v>
      </c>
      <c r="AV49">
        <v>0.13499999999999901</v>
      </c>
      <c r="AW49">
        <v>0.52</v>
      </c>
      <c r="AX49">
        <v>0.187797383216212</v>
      </c>
      <c r="AY49">
        <v>0.13428571428571401</v>
      </c>
      <c r="AZ49">
        <v>0.61</v>
      </c>
      <c r="BA49">
        <v>0.16417387497555599</v>
      </c>
      <c r="BB49">
        <v>0.17499999999999999</v>
      </c>
      <c r="BC49">
        <v>0.68</v>
      </c>
      <c r="BD49">
        <v>0.22222093253594</v>
      </c>
      <c r="BE49">
        <v>0.26085714285714201</v>
      </c>
      <c r="BF49">
        <v>0.59399999999999997</v>
      </c>
      <c r="BG49">
        <v>0.19327916787562399</v>
      </c>
      <c r="BH49" t="b">
        <v>0</v>
      </c>
    </row>
    <row r="50" spans="1:61" x14ac:dyDescent="0.25">
      <c r="A50" t="s">
        <v>50</v>
      </c>
      <c r="B50">
        <v>7</v>
      </c>
      <c r="C50">
        <v>0.2440797613336369</v>
      </c>
      <c r="D50">
        <v>0.183098591549295</v>
      </c>
      <c r="E50">
        <v>26</v>
      </c>
      <c r="F50">
        <v>142</v>
      </c>
      <c r="G50">
        <v>0.93576923076923002</v>
      </c>
      <c r="H50">
        <v>0.18672274798584201</v>
      </c>
      <c r="I50">
        <v>0.03</v>
      </c>
      <c r="J50">
        <v>2.74</v>
      </c>
      <c r="K50">
        <v>1.99599999999999</v>
      </c>
      <c r="L50">
        <v>2.74</v>
      </c>
      <c r="M50">
        <v>0.56000000000000005</v>
      </c>
      <c r="N50">
        <v>0.53199999999999903</v>
      </c>
      <c r="O50">
        <v>0.56000000000000005</v>
      </c>
      <c r="P50">
        <v>2.4300000000000002</v>
      </c>
      <c r="Q50">
        <v>2.0760000000000001</v>
      </c>
      <c r="R50">
        <v>3.5422740524781302</v>
      </c>
      <c r="S50">
        <v>0.86</v>
      </c>
      <c r="T50">
        <v>0.48</v>
      </c>
      <c r="U50">
        <v>0.86</v>
      </c>
      <c r="V50">
        <v>0.88</v>
      </c>
      <c r="W50">
        <v>0.59599999999999898</v>
      </c>
      <c r="X50">
        <v>0.88</v>
      </c>
      <c r="Y50">
        <v>0.73</v>
      </c>
      <c r="Z50">
        <v>0.50800000000000001</v>
      </c>
      <c r="AA50">
        <v>0.73</v>
      </c>
      <c r="AB50">
        <v>3.12</v>
      </c>
      <c r="AC50">
        <v>3.0339999999999998</v>
      </c>
      <c r="AD50">
        <v>5.1655629139072801</v>
      </c>
      <c r="AE50">
        <v>3.76</v>
      </c>
      <c r="AF50">
        <v>3.1839999999999899</v>
      </c>
      <c r="AG50">
        <v>3.76</v>
      </c>
      <c r="AH50">
        <v>5</v>
      </c>
      <c r="AI50">
        <v>3.9999999999999898</v>
      </c>
      <c r="AJ50">
        <v>5</v>
      </c>
      <c r="AK50">
        <v>2.94</v>
      </c>
      <c r="AL50">
        <v>2.61</v>
      </c>
      <c r="AM50">
        <v>52.499999999999901</v>
      </c>
      <c r="AN50">
        <v>5</v>
      </c>
      <c r="AO50">
        <v>6</v>
      </c>
      <c r="AP50">
        <v>21.283985008829699</v>
      </c>
      <c r="AQ50">
        <v>13.377245929866399</v>
      </c>
      <c r="AR50">
        <v>17.330615469348</v>
      </c>
      <c r="AS50">
        <v>0</v>
      </c>
      <c r="AT50">
        <v>0</v>
      </c>
      <c r="AU50">
        <v>0</v>
      </c>
      <c r="AV50">
        <v>0.12916666666666601</v>
      </c>
      <c r="AW50">
        <v>1.54</v>
      </c>
      <c r="AX50">
        <v>0.33829125354082401</v>
      </c>
      <c r="AY50">
        <v>0.18083333333333301</v>
      </c>
      <c r="AZ50">
        <v>0.56000000000000005</v>
      </c>
      <c r="BA50">
        <v>0.191744549393776</v>
      </c>
      <c r="BB50">
        <v>0.485416666666666</v>
      </c>
      <c r="BC50">
        <v>1.43</v>
      </c>
      <c r="BD50">
        <v>0.41627293897420498</v>
      </c>
      <c r="BE50">
        <v>0.54466666666666597</v>
      </c>
      <c r="BF50">
        <v>0.90700000000000003</v>
      </c>
      <c r="BG50">
        <v>0.20091533595577499</v>
      </c>
      <c r="BH50" t="b">
        <v>0</v>
      </c>
    </row>
    <row r="51" spans="1:61" x14ac:dyDescent="0.25">
      <c r="A51" t="s">
        <v>51</v>
      </c>
      <c r="B51">
        <v>8</v>
      </c>
      <c r="C51">
        <v>0.38489371433532982</v>
      </c>
      <c r="D51">
        <v>9.8360655737704902E-2</v>
      </c>
      <c r="E51">
        <v>18</v>
      </c>
      <c r="F51">
        <v>183</v>
      </c>
      <c r="G51">
        <v>0.87722222222222201</v>
      </c>
      <c r="H51">
        <v>0.217250345036091</v>
      </c>
      <c r="I51">
        <v>0.03</v>
      </c>
      <c r="J51">
        <v>2.2999999999999998</v>
      </c>
      <c r="K51">
        <v>2.0960000000000001</v>
      </c>
      <c r="L51">
        <v>2.2999999999999998</v>
      </c>
      <c r="M51">
        <v>0.11</v>
      </c>
      <c r="N51">
        <v>0.10149999999999899</v>
      </c>
      <c r="O51">
        <v>0.11</v>
      </c>
      <c r="P51">
        <v>3.04</v>
      </c>
      <c r="Q51">
        <v>2.7595000000000001</v>
      </c>
      <c r="R51">
        <v>6.84684684684684</v>
      </c>
      <c r="S51">
        <v>1.1599999999999999</v>
      </c>
      <c r="T51">
        <v>0.84549999999999903</v>
      </c>
      <c r="U51">
        <v>1.1599999999999999</v>
      </c>
      <c r="V51">
        <v>0.17</v>
      </c>
      <c r="W51">
        <v>8.4999999999999798E-2</v>
      </c>
      <c r="X51">
        <v>0.17</v>
      </c>
      <c r="Y51">
        <v>0.4</v>
      </c>
      <c r="Z51">
        <v>0.32349999999999901</v>
      </c>
      <c r="AA51">
        <v>0.4</v>
      </c>
      <c r="AB51">
        <v>2.75</v>
      </c>
      <c r="AC51">
        <v>2.512</v>
      </c>
      <c r="AD51">
        <v>2.75</v>
      </c>
      <c r="AE51">
        <v>3.33</v>
      </c>
      <c r="AF51">
        <v>2.1399999999999899</v>
      </c>
      <c r="AG51">
        <v>3.33</v>
      </c>
      <c r="AH51">
        <v>4.24</v>
      </c>
      <c r="AI51">
        <v>3.6024999999999898</v>
      </c>
      <c r="AJ51">
        <v>4.24</v>
      </c>
      <c r="AK51">
        <v>1.67</v>
      </c>
      <c r="AL51">
        <v>1.45749999999999</v>
      </c>
      <c r="AM51">
        <v>29.821428571428498</v>
      </c>
      <c r="AN51">
        <v>4.24</v>
      </c>
      <c r="AO51">
        <v>5</v>
      </c>
      <c r="AP51">
        <v>19.884431785547601</v>
      </c>
      <c r="AQ51">
        <v>13.9920594525093</v>
      </c>
      <c r="AR51">
        <v>16.9382456190285</v>
      </c>
      <c r="AS51">
        <v>0</v>
      </c>
      <c r="AT51">
        <v>0</v>
      </c>
      <c r="AU51">
        <v>0</v>
      </c>
      <c r="AV51">
        <v>0.46352941176470502</v>
      </c>
      <c r="AW51">
        <v>1.66</v>
      </c>
      <c r="AX51">
        <v>0.55563362004398398</v>
      </c>
      <c r="AY51">
        <v>1.8823529411764701E-2</v>
      </c>
      <c r="AZ51">
        <v>0.1</v>
      </c>
      <c r="BA51">
        <v>2.7628278978393799E-2</v>
      </c>
      <c r="BB51">
        <v>0.71352941176470497</v>
      </c>
      <c r="BC51">
        <v>1.27</v>
      </c>
      <c r="BD51">
        <v>0.34550800069855497</v>
      </c>
      <c r="BE51">
        <v>0.47311764705882298</v>
      </c>
      <c r="BF51">
        <v>1.1459999999999999</v>
      </c>
      <c r="BG51">
        <v>0.27923843540284399</v>
      </c>
      <c r="BH51" t="b">
        <v>0</v>
      </c>
    </row>
    <row r="52" spans="1:61" x14ac:dyDescent="0.25">
      <c r="A52" t="s">
        <v>52</v>
      </c>
      <c r="B52">
        <v>8</v>
      </c>
      <c r="C52">
        <v>0.47463366063276369</v>
      </c>
      <c r="D52">
        <v>0.17938931297709901</v>
      </c>
      <c r="E52">
        <v>47</v>
      </c>
      <c r="F52">
        <v>262</v>
      </c>
      <c r="G52">
        <v>0.94063829787233999</v>
      </c>
      <c r="H52">
        <v>0.14139682450341101</v>
      </c>
      <c r="I52">
        <v>0.03</v>
      </c>
      <c r="J52">
        <v>2.2999999999999998</v>
      </c>
      <c r="K52">
        <v>1.86299999999999</v>
      </c>
      <c r="L52">
        <v>2.2999999999999998</v>
      </c>
      <c r="M52">
        <v>0.87</v>
      </c>
      <c r="N52">
        <v>0.75799999999999901</v>
      </c>
      <c r="O52">
        <v>0.87</v>
      </c>
      <c r="P52">
        <v>3.04</v>
      </c>
      <c r="Q52">
        <v>2.32099999999999</v>
      </c>
      <c r="R52">
        <v>6.52360515021459</v>
      </c>
      <c r="S52">
        <v>1.65</v>
      </c>
      <c r="T52">
        <v>0.51099999999999901</v>
      </c>
      <c r="U52">
        <v>1.65</v>
      </c>
      <c r="V52">
        <v>0.43</v>
      </c>
      <c r="W52">
        <v>0.22</v>
      </c>
      <c r="X52">
        <v>0.43</v>
      </c>
      <c r="Y52">
        <v>0.9</v>
      </c>
      <c r="Z52">
        <v>0.372999999999999</v>
      </c>
      <c r="AA52">
        <v>0.9</v>
      </c>
      <c r="AB52">
        <v>3.78</v>
      </c>
      <c r="AC52">
        <v>3.2040000000000002</v>
      </c>
      <c r="AD52">
        <v>16.434782608695599</v>
      </c>
      <c r="AE52">
        <v>4.55</v>
      </c>
      <c r="AF52">
        <v>3.6939999999999902</v>
      </c>
      <c r="AG52">
        <v>4.55</v>
      </c>
      <c r="AH52">
        <v>4.16</v>
      </c>
      <c r="AI52">
        <v>3.5189999999999899</v>
      </c>
      <c r="AJ52">
        <v>4.16</v>
      </c>
      <c r="AK52">
        <v>5</v>
      </c>
      <c r="AL52">
        <v>3.8090000000000002</v>
      </c>
      <c r="AM52">
        <v>5</v>
      </c>
      <c r="AN52">
        <v>5</v>
      </c>
      <c r="AO52">
        <v>6</v>
      </c>
      <c r="AP52">
        <v>21.197655817459399</v>
      </c>
      <c r="AQ52">
        <v>16.5368919309193</v>
      </c>
      <c r="AR52">
        <v>18.867273874189401</v>
      </c>
      <c r="AS52">
        <v>0</v>
      </c>
      <c r="AT52">
        <v>0</v>
      </c>
      <c r="AU52">
        <v>0</v>
      </c>
      <c r="AV52">
        <v>0.205869565217391</v>
      </c>
      <c r="AW52">
        <v>1.66</v>
      </c>
      <c r="AX52">
        <v>0.43039201588156001</v>
      </c>
      <c r="AY52">
        <v>0.16543478260869501</v>
      </c>
      <c r="AZ52">
        <v>0.61</v>
      </c>
      <c r="BA52">
        <v>0.17465128637845201</v>
      </c>
      <c r="BB52">
        <v>0.46130434782608598</v>
      </c>
      <c r="BC52">
        <v>1.27</v>
      </c>
      <c r="BD52">
        <v>0.347235095749589</v>
      </c>
      <c r="BE52">
        <v>0.46580434782608598</v>
      </c>
      <c r="BF52">
        <v>1.1970000000000001</v>
      </c>
      <c r="BG52">
        <v>0.241399958535821</v>
      </c>
      <c r="BH52" t="b">
        <v>0</v>
      </c>
    </row>
    <row r="53" spans="1:61" x14ac:dyDescent="0.25">
      <c r="A53" t="s">
        <v>53</v>
      </c>
      <c r="B53">
        <v>6</v>
      </c>
      <c r="C53">
        <v>0.18524815428786007</v>
      </c>
      <c r="D53">
        <v>0.66666666666666596</v>
      </c>
      <c r="E53">
        <v>82</v>
      </c>
      <c r="F53">
        <v>123</v>
      </c>
      <c r="G53">
        <v>0.91292682926829205</v>
      </c>
      <c r="H53">
        <v>8.5280768023984196E-2</v>
      </c>
      <c r="I53">
        <v>0.77</v>
      </c>
      <c r="J53">
        <v>3.5</v>
      </c>
      <c r="K53">
        <v>2.2839999999999998</v>
      </c>
      <c r="L53">
        <v>12.1951219512195</v>
      </c>
      <c r="M53">
        <v>0.38</v>
      </c>
      <c r="N53">
        <v>0.186999999999999</v>
      </c>
      <c r="O53">
        <v>0.38</v>
      </c>
      <c r="P53">
        <v>0.19</v>
      </c>
      <c r="Q53">
        <v>0</v>
      </c>
      <c r="R53">
        <v>0.19</v>
      </c>
      <c r="S53">
        <v>0.83</v>
      </c>
      <c r="T53">
        <v>0.52699999999999902</v>
      </c>
      <c r="U53">
        <v>0.83</v>
      </c>
      <c r="V53">
        <v>2.38</v>
      </c>
      <c r="W53">
        <v>2.2654999999999998</v>
      </c>
      <c r="X53">
        <v>9.0839694656488508</v>
      </c>
      <c r="Y53">
        <v>0.24</v>
      </c>
      <c r="Z53">
        <v>4.8499999999999897E-2</v>
      </c>
      <c r="AA53">
        <v>0.24</v>
      </c>
      <c r="AB53">
        <v>3.62</v>
      </c>
      <c r="AC53">
        <v>3.161</v>
      </c>
      <c r="AD53">
        <v>3.62</v>
      </c>
      <c r="AE53">
        <v>2.34</v>
      </c>
      <c r="AF53">
        <v>0.54949999999999899</v>
      </c>
      <c r="AG53">
        <v>2.34</v>
      </c>
      <c r="AH53">
        <v>4.42</v>
      </c>
      <c r="AI53">
        <v>3.0349999999999899</v>
      </c>
      <c r="AJ53">
        <v>4.42</v>
      </c>
      <c r="AK53">
        <v>2.83</v>
      </c>
      <c r="AL53">
        <v>2.27049999999999</v>
      </c>
      <c r="AM53">
        <v>2.83</v>
      </c>
      <c r="AN53">
        <v>4.42</v>
      </c>
      <c r="AO53">
        <v>6</v>
      </c>
      <c r="AP53">
        <v>4.6761505675778698</v>
      </c>
      <c r="AQ53">
        <v>10.901943053972101</v>
      </c>
      <c r="AR53">
        <v>7.7890468107750301</v>
      </c>
      <c r="AS53">
        <v>0</v>
      </c>
      <c r="AT53">
        <v>0</v>
      </c>
      <c r="AU53">
        <v>0</v>
      </c>
      <c r="AV53">
        <v>0.43180722891566198</v>
      </c>
      <c r="AW53">
        <v>2.88</v>
      </c>
      <c r="AX53">
        <v>0.46872846348164399</v>
      </c>
      <c r="AY53">
        <v>2.8674698795180701E-2</v>
      </c>
      <c r="AZ53">
        <v>0.28999999999999998</v>
      </c>
      <c r="BA53">
        <v>5.93290006969985E-2</v>
      </c>
      <c r="BB53">
        <v>4.8192771084336998E-3</v>
      </c>
      <c r="BC53">
        <v>0.19</v>
      </c>
      <c r="BD53">
        <v>2.91386980625187E-2</v>
      </c>
      <c r="BE53">
        <v>0.26668674698795097</v>
      </c>
      <c r="BF53">
        <v>1.2150000000000001</v>
      </c>
      <c r="BG53">
        <v>0.18870503072132999</v>
      </c>
      <c r="BH53" t="b">
        <v>0</v>
      </c>
    </row>
    <row r="54" spans="1:61" x14ac:dyDescent="0.25">
      <c r="A54" t="s">
        <v>54</v>
      </c>
      <c r="B54">
        <v>9</v>
      </c>
      <c r="C54">
        <f>AVERAGE(C5,C9,C17,C27,C28,C42,C43,C59,C67,C66,C65,C74,C79,C84,C90)</f>
        <v>0.31372029859110545</v>
      </c>
      <c r="D54">
        <v>0.79661016949152497</v>
      </c>
      <c r="E54">
        <v>47</v>
      </c>
      <c r="F54">
        <v>59</v>
      </c>
      <c r="G54">
        <v>0.90893617021276596</v>
      </c>
      <c r="H54">
        <v>5.7492307332417697E-2</v>
      </c>
      <c r="I54">
        <v>0.77</v>
      </c>
      <c r="J54">
        <v>2.57</v>
      </c>
      <c r="K54">
        <v>1.6659999999999899</v>
      </c>
      <c r="L54">
        <v>6.29901960784313</v>
      </c>
      <c r="M54">
        <v>1.08</v>
      </c>
      <c r="N54">
        <v>0.75399999999999601</v>
      </c>
      <c r="O54">
        <v>1.08</v>
      </c>
      <c r="P54">
        <v>0.85</v>
      </c>
      <c r="Q54">
        <v>0.69199999999999895</v>
      </c>
      <c r="R54">
        <v>0.85</v>
      </c>
      <c r="S54">
        <v>0.48</v>
      </c>
      <c r="T54">
        <v>0.36799999999999899</v>
      </c>
      <c r="U54">
        <v>0.48</v>
      </c>
      <c r="V54">
        <v>2.14</v>
      </c>
      <c r="W54">
        <v>1.6160000000000001</v>
      </c>
      <c r="X54">
        <v>2.14</v>
      </c>
      <c r="Y54">
        <v>0.8</v>
      </c>
      <c r="Z54">
        <v>0.65799999999999903</v>
      </c>
      <c r="AA54">
        <v>0.8</v>
      </c>
      <c r="AB54">
        <v>3.03</v>
      </c>
      <c r="AC54">
        <v>2.4319999999999902</v>
      </c>
      <c r="AD54">
        <v>3.03</v>
      </c>
      <c r="AE54">
        <v>0.78</v>
      </c>
      <c r="AF54">
        <v>0.63799999999999901</v>
      </c>
      <c r="AG54">
        <v>0.78</v>
      </c>
      <c r="AH54">
        <v>2.2000000000000002</v>
      </c>
      <c r="AI54">
        <v>2.036</v>
      </c>
      <c r="AJ54">
        <v>2.2000000000000002</v>
      </c>
      <c r="AK54">
        <v>2.12</v>
      </c>
      <c r="AL54">
        <v>1.972</v>
      </c>
      <c r="AM54">
        <v>2.12</v>
      </c>
      <c r="AN54">
        <v>3.03</v>
      </c>
      <c r="AO54">
        <v>5</v>
      </c>
      <c r="AP54">
        <v>14.569031626748099</v>
      </c>
      <c r="AQ54">
        <v>8.7729887990136408</v>
      </c>
      <c r="AR54">
        <v>11.671010212880899</v>
      </c>
      <c r="AS54">
        <v>0</v>
      </c>
      <c r="AT54">
        <v>0</v>
      </c>
      <c r="AU54">
        <v>0</v>
      </c>
      <c r="AV54">
        <v>0.28041666666666598</v>
      </c>
      <c r="AW54">
        <v>1.82</v>
      </c>
      <c r="AX54">
        <v>0.31226296565910899</v>
      </c>
      <c r="AY54">
        <v>6.7916666666666597E-2</v>
      </c>
      <c r="AZ54">
        <v>1.03</v>
      </c>
      <c r="BA54">
        <v>0.184096423255737</v>
      </c>
      <c r="BB54">
        <v>0.08</v>
      </c>
      <c r="BC54">
        <v>0.72</v>
      </c>
      <c r="BD54">
        <v>0.16110296914292599</v>
      </c>
      <c r="BE54">
        <v>0.18389583333333301</v>
      </c>
      <c r="BF54">
        <v>0.497</v>
      </c>
      <c r="BG54">
        <v>0.12312057768425801</v>
      </c>
      <c r="BH54" t="b">
        <v>0</v>
      </c>
    </row>
    <row r="55" spans="1:61" x14ac:dyDescent="0.25">
      <c r="A55" t="s">
        <v>55</v>
      </c>
      <c r="B55">
        <v>8</v>
      </c>
      <c r="C55">
        <v>0.21960984083205182</v>
      </c>
      <c r="D55">
        <v>0.62809917355371903</v>
      </c>
      <c r="E55">
        <v>76</v>
      </c>
      <c r="F55">
        <v>121</v>
      </c>
      <c r="G55">
        <v>0.89013157894736805</v>
      </c>
      <c r="H55">
        <v>8.5361871598548106E-2</v>
      </c>
      <c r="I55">
        <v>0.77</v>
      </c>
      <c r="J55">
        <v>2.96</v>
      </c>
      <c r="K55">
        <v>2.1324999999999998</v>
      </c>
      <c r="L55">
        <v>4.8925619834710696</v>
      </c>
      <c r="M55">
        <v>0.9</v>
      </c>
      <c r="N55">
        <v>0.64249999999999996</v>
      </c>
      <c r="O55">
        <v>0.9</v>
      </c>
      <c r="P55">
        <v>0.42</v>
      </c>
      <c r="Q55">
        <v>0.28249999999999997</v>
      </c>
      <c r="R55">
        <v>0.42</v>
      </c>
      <c r="S55">
        <v>1</v>
      </c>
      <c r="T55">
        <v>0.73499999999999999</v>
      </c>
      <c r="U55">
        <v>1</v>
      </c>
      <c r="V55">
        <v>2.4700000000000002</v>
      </c>
      <c r="W55">
        <v>1.93</v>
      </c>
      <c r="X55">
        <v>24.7</v>
      </c>
      <c r="Y55">
        <v>0.78</v>
      </c>
      <c r="Z55">
        <v>0.48499999999999999</v>
      </c>
      <c r="AA55">
        <v>0.78</v>
      </c>
      <c r="AB55">
        <v>3.19</v>
      </c>
      <c r="AC55">
        <v>2.3224999999999998</v>
      </c>
      <c r="AD55">
        <v>3.19</v>
      </c>
      <c r="AE55">
        <v>1.7</v>
      </c>
      <c r="AF55">
        <v>0.95</v>
      </c>
      <c r="AG55">
        <v>1.7</v>
      </c>
      <c r="AH55">
        <v>3.78</v>
      </c>
      <c r="AI55">
        <v>1.9575</v>
      </c>
      <c r="AJ55">
        <v>3.78</v>
      </c>
      <c r="AK55">
        <v>2.63</v>
      </c>
      <c r="AL55">
        <v>1.87</v>
      </c>
      <c r="AM55">
        <v>2.63</v>
      </c>
      <c r="AN55">
        <v>3.78</v>
      </c>
      <c r="AO55">
        <v>5</v>
      </c>
      <c r="AP55">
        <v>4.7382600938950503</v>
      </c>
      <c r="AQ55">
        <v>12.066541011131401</v>
      </c>
      <c r="AR55">
        <v>8.4024005525132495</v>
      </c>
      <c r="AS55">
        <v>0</v>
      </c>
      <c r="AT55">
        <v>0</v>
      </c>
      <c r="AU55">
        <v>0</v>
      </c>
      <c r="AV55">
        <v>0.386133333333333</v>
      </c>
      <c r="AW55">
        <v>1.73</v>
      </c>
      <c r="AX55">
        <v>0.30767902467055203</v>
      </c>
      <c r="AY55">
        <v>0.102533333333333</v>
      </c>
      <c r="AZ55">
        <v>0.79</v>
      </c>
      <c r="BA55">
        <v>0.16413891135931799</v>
      </c>
      <c r="BB55">
        <v>3.9466666666666601E-2</v>
      </c>
      <c r="BC55">
        <v>0.42</v>
      </c>
      <c r="BD55">
        <v>8.2103890826737802E-2</v>
      </c>
      <c r="BE55">
        <v>0.25145333333333297</v>
      </c>
      <c r="BF55">
        <v>0.86099999999999999</v>
      </c>
      <c r="BG55">
        <v>0.12709747370511401</v>
      </c>
      <c r="BH55" t="b">
        <v>0</v>
      </c>
    </row>
    <row r="56" spans="1:61" x14ac:dyDescent="0.25">
      <c r="A56" t="s">
        <v>56</v>
      </c>
      <c r="B56">
        <v>8</v>
      </c>
      <c r="C56">
        <v>0.37972692600663194</v>
      </c>
      <c r="D56">
        <v>0.58607845185581398</v>
      </c>
      <c r="E56">
        <v>150.69999999999999</v>
      </c>
      <c r="F56">
        <v>257.60000000000002</v>
      </c>
      <c r="G56">
        <v>0.87627482038937998</v>
      </c>
      <c r="H56">
        <v>0.12830704721802899</v>
      </c>
      <c r="I56">
        <v>0.4</v>
      </c>
      <c r="J56">
        <v>2.24399999999999</v>
      </c>
      <c r="K56">
        <v>1.7172499999999999</v>
      </c>
      <c r="L56">
        <v>9.25386528343987</v>
      </c>
      <c r="M56">
        <v>0.69299999999999995</v>
      </c>
      <c r="N56">
        <v>0.35344999999999899</v>
      </c>
      <c r="O56">
        <v>0.69299999999999995</v>
      </c>
      <c r="P56">
        <v>1.8699999999999899</v>
      </c>
      <c r="Q56">
        <v>1.15109999999999</v>
      </c>
      <c r="R56">
        <v>2.5990451997061399</v>
      </c>
      <c r="S56">
        <v>1.6099999999999901</v>
      </c>
      <c r="T56">
        <v>0.685499999999999</v>
      </c>
      <c r="U56">
        <v>1.6099999999999901</v>
      </c>
      <c r="V56">
        <v>1.9490000000000001</v>
      </c>
      <c r="W56">
        <v>1.2428999999999899</v>
      </c>
      <c r="X56">
        <v>8.4499999999999993</v>
      </c>
      <c r="Y56">
        <v>0.97599999999999998</v>
      </c>
      <c r="Z56">
        <v>0.54529999999999901</v>
      </c>
      <c r="AA56">
        <v>0.97599999999999998</v>
      </c>
      <c r="AB56">
        <v>3.86499999999999</v>
      </c>
      <c r="AC56">
        <v>2.5270999999999999</v>
      </c>
      <c r="AD56">
        <v>5.1304782608695598</v>
      </c>
      <c r="AE56">
        <v>3.3699999999999899</v>
      </c>
      <c r="AF56">
        <v>1.6830499999999899</v>
      </c>
      <c r="AG56">
        <v>3.3699999999999899</v>
      </c>
      <c r="AH56">
        <v>3.5840000000000001</v>
      </c>
      <c r="AI56">
        <v>2.18814999999999</v>
      </c>
      <c r="AJ56">
        <v>3.5840000000000001</v>
      </c>
      <c r="AK56">
        <v>3.1040000000000001</v>
      </c>
      <c r="AL56">
        <v>2.1594500000000001</v>
      </c>
      <c r="AM56">
        <v>5.9191428571428499</v>
      </c>
      <c r="AN56">
        <v>4.20399999999999</v>
      </c>
      <c r="AO56">
        <v>5.7</v>
      </c>
      <c r="AP56">
        <v>11.983863042052599</v>
      </c>
      <c r="AQ56">
        <v>15.6617260936594</v>
      </c>
      <c r="AR56">
        <v>13.822794567856</v>
      </c>
      <c r="AS56">
        <v>0</v>
      </c>
      <c r="AT56">
        <v>0</v>
      </c>
      <c r="AU56">
        <v>0</v>
      </c>
      <c r="AV56">
        <v>0.29625779448627998</v>
      </c>
      <c r="AW56">
        <v>1.673</v>
      </c>
      <c r="AX56">
        <v>0.32665489947513299</v>
      </c>
      <c r="AY56">
        <v>6.3245878099611796E-2</v>
      </c>
      <c r="AZ56">
        <v>0.56599999999999995</v>
      </c>
      <c r="BA56">
        <v>0.104240986916794</v>
      </c>
      <c r="BB56">
        <v>0.231585661383438</v>
      </c>
      <c r="BC56">
        <v>1.38</v>
      </c>
      <c r="BD56">
        <v>0.25286118332790603</v>
      </c>
      <c r="BE56">
        <v>0.28543502688535499</v>
      </c>
      <c r="BF56">
        <v>1.1364000000000001</v>
      </c>
      <c r="BG56">
        <v>0.19198578638789501</v>
      </c>
      <c r="BH56" t="b">
        <v>1</v>
      </c>
      <c r="BI56" t="s">
        <v>158</v>
      </c>
    </row>
    <row r="57" spans="1:61" x14ac:dyDescent="0.25">
      <c r="A57" t="s">
        <v>57</v>
      </c>
      <c r="B57">
        <v>7</v>
      </c>
      <c r="C57">
        <v>0.26082742353833899</v>
      </c>
      <c r="D57">
        <v>0.59199999999999997</v>
      </c>
      <c r="E57">
        <v>74</v>
      </c>
      <c r="F57">
        <v>125</v>
      </c>
      <c r="G57">
        <v>0.915135135135135</v>
      </c>
      <c r="H57">
        <v>8.0635204984288306E-2</v>
      </c>
      <c r="I57">
        <v>0.77</v>
      </c>
      <c r="J57">
        <v>2.2400000000000002</v>
      </c>
      <c r="K57">
        <v>1.8214999999999899</v>
      </c>
      <c r="L57">
        <v>3.5668789808917198</v>
      </c>
      <c r="M57">
        <v>0.63</v>
      </c>
      <c r="N57">
        <v>0.42049999999999899</v>
      </c>
      <c r="O57">
        <v>0.63</v>
      </c>
      <c r="P57">
        <v>1.21</v>
      </c>
      <c r="Q57">
        <v>0.23049999999999901</v>
      </c>
      <c r="R57">
        <v>1.21</v>
      </c>
      <c r="S57">
        <v>2.2400000000000002</v>
      </c>
      <c r="T57">
        <v>0.47049999999999897</v>
      </c>
      <c r="U57">
        <v>2.2400000000000002</v>
      </c>
      <c r="V57">
        <v>2.83</v>
      </c>
      <c r="W57">
        <v>2.39699999999999</v>
      </c>
      <c r="X57">
        <v>40.428571428571402</v>
      </c>
      <c r="Y57">
        <v>0.59</v>
      </c>
      <c r="Z57">
        <v>0.374999999999999</v>
      </c>
      <c r="AA57">
        <v>0.59</v>
      </c>
      <c r="AB57">
        <v>5</v>
      </c>
      <c r="AC57">
        <v>2.14299999999999</v>
      </c>
      <c r="AD57">
        <v>5</v>
      </c>
      <c r="AE57">
        <v>4.8099999999999996</v>
      </c>
      <c r="AF57">
        <v>1.2689999999999899</v>
      </c>
      <c r="AG57">
        <v>4.8099999999999996</v>
      </c>
      <c r="AH57">
        <v>3.13</v>
      </c>
      <c r="AI57">
        <v>2.40749999999999</v>
      </c>
      <c r="AJ57">
        <v>3.13</v>
      </c>
      <c r="AK57">
        <v>4.29</v>
      </c>
      <c r="AL57">
        <v>2.6589999999999998</v>
      </c>
      <c r="AM57">
        <v>4.29</v>
      </c>
      <c r="AN57">
        <v>5</v>
      </c>
      <c r="AO57">
        <v>7</v>
      </c>
      <c r="AP57">
        <v>4.2743707227564904</v>
      </c>
      <c r="AQ57">
        <v>12.9249584210738</v>
      </c>
      <c r="AR57">
        <v>8.5996645719151505</v>
      </c>
      <c r="AS57">
        <v>0</v>
      </c>
      <c r="AT57">
        <v>0</v>
      </c>
      <c r="AU57">
        <v>0</v>
      </c>
      <c r="AV57">
        <v>0.351298701298701</v>
      </c>
      <c r="AW57">
        <v>1.72</v>
      </c>
      <c r="AX57">
        <v>0.35391814538771099</v>
      </c>
      <c r="AY57">
        <v>3.9999999999999897E-2</v>
      </c>
      <c r="AZ57">
        <v>0.48</v>
      </c>
      <c r="BA57">
        <v>9.7301245971120304E-2</v>
      </c>
      <c r="BB57">
        <v>4.1818181818181803E-2</v>
      </c>
      <c r="BC57">
        <v>0.92</v>
      </c>
      <c r="BD57">
        <v>0.152687842776558</v>
      </c>
      <c r="BE57">
        <v>0.25345454545454499</v>
      </c>
      <c r="BF57">
        <v>1.6779999999999999</v>
      </c>
      <c r="BG57">
        <v>0.24048665732108401</v>
      </c>
      <c r="BH57" t="b">
        <v>0</v>
      </c>
    </row>
    <row r="58" spans="1:61" x14ac:dyDescent="0.25">
      <c r="A58" t="s">
        <v>58</v>
      </c>
      <c r="B58">
        <v>8</v>
      </c>
      <c r="C58">
        <v>0.23757766388777349</v>
      </c>
      <c r="D58">
        <v>0.63636363636363602</v>
      </c>
      <c r="E58">
        <v>119</v>
      </c>
      <c r="F58">
        <v>187</v>
      </c>
      <c r="G58">
        <v>0.92260504201680704</v>
      </c>
      <c r="H58">
        <v>8.0690475619608001E-2</v>
      </c>
      <c r="I58">
        <v>0.77</v>
      </c>
      <c r="J58">
        <v>2.2400000000000002</v>
      </c>
      <c r="K58">
        <v>1.79</v>
      </c>
      <c r="L58">
        <v>4.2994241842610297</v>
      </c>
      <c r="M58">
        <v>0.63</v>
      </c>
      <c r="N58">
        <v>0.39949999999999902</v>
      </c>
      <c r="O58">
        <v>0.63</v>
      </c>
      <c r="P58">
        <v>1.21</v>
      </c>
      <c r="Q58">
        <v>0.217999999999999</v>
      </c>
      <c r="R58">
        <v>1.21</v>
      </c>
      <c r="S58">
        <v>2.59</v>
      </c>
      <c r="T58">
        <v>0.70649999999999602</v>
      </c>
      <c r="U58">
        <v>2.59</v>
      </c>
      <c r="V58">
        <v>3.22</v>
      </c>
      <c r="W58">
        <v>2.5689999999999902</v>
      </c>
      <c r="X58">
        <v>46</v>
      </c>
      <c r="Y58">
        <v>0.59</v>
      </c>
      <c r="Z58">
        <v>0.28849999999999898</v>
      </c>
      <c r="AA58">
        <v>0.59</v>
      </c>
      <c r="AB58">
        <v>5</v>
      </c>
      <c r="AC58">
        <v>3.3094999999999901</v>
      </c>
      <c r="AD58">
        <v>5</v>
      </c>
      <c r="AE58">
        <v>5</v>
      </c>
      <c r="AF58">
        <v>1.83649999999999</v>
      </c>
      <c r="AG58">
        <v>5</v>
      </c>
      <c r="AH58">
        <v>3.73</v>
      </c>
      <c r="AI58">
        <v>2.8054999999999901</v>
      </c>
      <c r="AJ58">
        <v>3.73</v>
      </c>
      <c r="AK58">
        <v>4.8899999999999997</v>
      </c>
      <c r="AL58">
        <v>3.0559999999999898</v>
      </c>
      <c r="AM58">
        <v>4.8899999999999997</v>
      </c>
      <c r="AN58">
        <v>5</v>
      </c>
      <c r="AO58">
        <v>7</v>
      </c>
      <c r="AP58">
        <v>6.1076528419230298</v>
      </c>
      <c r="AQ58">
        <v>13.4408915824643</v>
      </c>
      <c r="AR58">
        <v>9.7742722121937096</v>
      </c>
      <c r="AS58">
        <v>0</v>
      </c>
      <c r="AT58">
        <v>0</v>
      </c>
      <c r="AU58">
        <v>0</v>
      </c>
      <c r="AV58">
        <v>0.36099173553718999</v>
      </c>
      <c r="AW58">
        <v>1.72</v>
      </c>
      <c r="AX58">
        <v>0.349165250035746</v>
      </c>
      <c r="AY58">
        <v>2.89256198347107E-2</v>
      </c>
      <c r="AZ58">
        <v>0.48</v>
      </c>
      <c r="BA58">
        <v>8.2570297151719402E-2</v>
      </c>
      <c r="BB58">
        <v>4.1487603305785103E-2</v>
      </c>
      <c r="BC58">
        <v>0.92</v>
      </c>
      <c r="BD58">
        <v>0.14321376934715199</v>
      </c>
      <c r="BE58">
        <v>0.26374380165289202</v>
      </c>
      <c r="BF58">
        <v>1.75599999999999</v>
      </c>
      <c r="BG58">
        <v>0.24622738697785801</v>
      </c>
      <c r="BH58" t="b">
        <v>0</v>
      </c>
    </row>
    <row r="59" spans="1:61" x14ac:dyDescent="0.25">
      <c r="A59" t="s">
        <v>59</v>
      </c>
      <c r="B59">
        <v>9</v>
      </c>
      <c r="C59">
        <v>0.17328872062141393</v>
      </c>
      <c r="D59">
        <v>0.89937429585823703</v>
      </c>
      <c r="E59">
        <v>426.75</v>
      </c>
      <c r="F59">
        <v>458.5</v>
      </c>
      <c r="G59">
        <v>0.88362924935046305</v>
      </c>
      <c r="H59">
        <v>7.5336915747960295E-2</v>
      </c>
      <c r="I59">
        <v>0.215</v>
      </c>
      <c r="J59">
        <v>2.6524999999999999</v>
      </c>
      <c r="K59">
        <v>1.5282499999999899</v>
      </c>
      <c r="L59">
        <v>31.524063657721101</v>
      </c>
      <c r="M59">
        <v>0.85499999999999998</v>
      </c>
      <c r="N59">
        <v>0.278249999999998</v>
      </c>
      <c r="O59">
        <v>0.85499999999999998</v>
      </c>
      <c r="P59">
        <v>2.1349999999999998</v>
      </c>
      <c r="Q59">
        <v>1.3002499999999899</v>
      </c>
      <c r="R59">
        <v>2.1349999999999998</v>
      </c>
      <c r="S59">
        <v>0.85250000000000004</v>
      </c>
      <c r="T59">
        <v>0.48149999999999898</v>
      </c>
      <c r="U59">
        <v>0.85250000000000004</v>
      </c>
      <c r="V59">
        <v>2.125</v>
      </c>
      <c r="W59">
        <v>1.1719999999999899</v>
      </c>
      <c r="X59">
        <v>2.125</v>
      </c>
      <c r="Y59">
        <v>1.37</v>
      </c>
      <c r="Z59">
        <v>0.67824999999999902</v>
      </c>
      <c r="AA59">
        <v>1.37</v>
      </c>
      <c r="AB59">
        <v>4.1100000000000003</v>
      </c>
      <c r="AC59">
        <v>2.1369999999999898</v>
      </c>
      <c r="AD59">
        <v>4.1100000000000003</v>
      </c>
      <c r="AE59">
        <v>2.4075000000000002</v>
      </c>
      <c r="AF59">
        <v>0.60449999999999904</v>
      </c>
      <c r="AG59">
        <v>2.4075000000000002</v>
      </c>
      <c r="AH59">
        <v>2.99</v>
      </c>
      <c r="AI59">
        <v>1.8667499999999899</v>
      </c>
      <c r="AJ59">
        <v>2.99</v>
      </c>
      <c r="AK59">
        <v>2.92</v>
      </c>
      <c r="AL59">
        <v>1.8592499999999901</v>
      </c>
      <c r="AM59">
        <v>2.92</v>
      </c>
      <c r="AN59">
        <v>4.1100000000000003</v>
      </c>
      <c r="AO59">
        <v>6.5</v>
      </c>
      <c r="AP59">
        <v>8.6760743585181306</v>
      </c>
      <c r="AQ59">
        <v>14.460929528745501</v>
      </c>
      <c r="AR59">
        <v>11.5685019436318</v>
      </c>
      <c r="AS59">
        <v>0</v>
      </c>
      <c r="AT59">
        <v>0</v>
      </c>
      <c r="AU59">
        <v>0</v>
      </c>
      <c r="AV59">
        <v>0.25496015602986699</v>
      </c>
      <c r="AW59">
        <v>2.3675000000000002</v>
      </c>
      <c r="AX59">
        <v>0.26072524487061</v>
      </c>
      <c r="AY59">
        <v>3.1983031213800299E-2</v>
      </c>
      <c r="AZ59">
        <v>0.65</v>
      </c>
      <c r="BA59">
        <v>9.5686393908761297E-2</v>
      </c>
      <c r="BB59">
        <v>0.226530482960771</v>
      </c>
      <c r="BC59">
        <v>2.0299999999999998</v>
      </c>
      <c r="BD59">
        <v>0.27362915619890399</v>
      </c>
      <c r="BE59">
        <v>0.192485345050248</v>
      </c>
      <c r="BF59">
        <v>0.90949999999999998</v>
      </c>
      <c r="BG59">
        <v>0.11611188060524399</v>
      </c>
      <c r="BH59" t="b">
        <v>1</v>
      </c>
      <c r="BI59" t="s">
        <v>160</v>
      </c>
    </row>
    <row r="60" spans="1:61" x14ac:dyDescent="0.25">
      <c r="A60" t="s">
        <v>60</v>
      </c>
      <c r="B60">
        <v>10</v>
      </c>
      <c r="C60">
        <v>5.3355082830633227E-2</v>
      </c>
      <c r="D60">
        <v>0.54309419634018996</v>
      </c>
      <c r="E60">
        <v>163.80000000000001</v>
      </c>
      <c r="F60">
        <v>248.5</v>
      </c>
      <c r="G60">
        <v>0.87348934653381305</v>
      </c>
      <c r="H60">
        <v>0.10052205054538101</v>
      </c>
      <c r="I60">
        <v>0.38500000000000001</v>
      </c>
      <c r="J60">
        <v>2.0779999999999998</v>
      </c>
      <c r="K60">
        <v>1.4323999999999999</v>
      </c>
      <c r="L60">
        <v>6.5145675675675596</v>
      </c>
      <c r="M60">
        <v>0.91099999999999903</v>
      </c>
      <c r="N60">
        <v>0.57624999999999904</v>
      </c>
      <c r="O60">
        <v>0.91099999999999903</v>
      </c>
      <c r="P60">
        <v>2.363</v>
      </c>
      <c r="Q60">
        <v>1.45999999999999</v>
      </c>
      <c r="R60">
        <v>21.981499999999901</v>
      </c>
      <c r="S60">
        <v>0.97799999999999998</v>
      </c>
      <c r="T60">
        <v>0.51344999999999896</v>
      </c>
      <c r="U60">
        <v>0.97799999999999998</v>
      </c>
      <c r="V60">
        <v>1.48399999999999</v>
      </c>
      <c r="W60">
        <v>1.0507</v>
      </c>
      <c r="X60">
        <v>1.48399999999999</v>
      </c>
      <c r="Y60">
        <v>0.93200000000000005</v>
      </c>
      <c r="Z60">
        <v>0.517149999999999</v>
      </c>
      <c r="AA60">
        <v>0.93200000000000005</v>
      </c>
      <c r="AB60">
        <v>3.2480000000000002</v>
      </c>
      <c r="AC60">
        <v>2.3420499999999902</v>
      </c>
      <c r="AD60">
        <v>12.411</v>
      </c>
      <c r="AE60">
        <v>2.4180000000000001</v>
      </c>
      <c r="AF60">
        <v>1.18369999999999</v>
      </c>
      <c r="AG60">
        <v>2.4180000000000001</v>
      </c>
      <c r="AH60">
        <v>2.665</v>
      </c>
      <c r="AI60">
        <v>1.9703999999999899</v>
      </c>
      <c r="AJ60">
        <v>2.665</v>
      </c>
      <c r="AK60">
        <v>2.6379999999999999</v>
      </c>
      <c r="AL60">
        <v>2.0326</v>
      </c>
      <c r="AM60">
        <v>2.6379999999999999</v>
      </c>
      <c r="AN60">
        <v>3.77</v>
      </c>
      <c r="AO60">
        <v>4.2</v>
      </c>
      <c r="AP60">
        <v>34.572486037169497</v>
      </c>
      <c r="AQ60">
        <v>24.9809676064631</v>
      </c>
      <c r="AR60">
        <v>29.7767268218163</v>
      </c>
      <c r="AS60">
        <v>0</v>
      </c>
      <c r="AT60">
        <v>0</v>
      </c>
      <c r="AU60">
        <v>0</v>
      </c>
      <c r="AV60">
        <v>0.22860190822229501</v>
      </c>
      <c r="AW60">
        <v>1.492</v>
      </c>
      <c r="AX60">
        <v>0.280472463085364</v>
      </c>
      <c r="AY60">
        <v>8.0005676716861096E-2</v>
      </c>
      <c r="AZ60">
        <v>0.64200000000000002</v>
      </c>
      <c r="BA60">
        <v>0.12593568398166199</v>
      </c>
      <c r="BB60">
        <v>0.24884820723698001</v>
      </c>
      <c r="BC60">
        <v>1.75</v>
      </c>
      <c r="BD60">
        <v>0.32363209318054598</v>
      </c>
      <c r="BE60">
        <v>0.226184494638697</v>
      </c>
      <c r="BF60">
        <v>0.81420000000000003</v>
      </c>
      <c r="BG60">
        <v>0.156763907874265</v>
      </c>
      <c r="BH60" t="b">
        <v>1</v>
      </c>
      <c r="BI60" t="s">
        <v>164</v>
      </c>
    </row>
    <row r="61" spans="1:61" x14ac:dyDescent="0.25">
      <c r="A61" t="s">
        <v>61</v>
      </c>
      <c r="B61">
        <v>7</v>
      </c>
      <c r="C61">
        <v>0.28880231485045493</v>
      </c>
      <c r="D61">
        <v>0.36931055164952198</v>
      </c>
      <c r="E61">
        <v>70.599999999999994</v>
      </c>
      <c r="F61">
        <v>222.8</v>
      </c>
      <c r="G61">
        <v>0.92697680535029903</v>
      </c>
      <c r="H61">
        <v>0.104738026303426</v>
      </c>
      <c r="I61">
        <v>0.47399999999999998</v>
      </c>
      <c r="J61">
        <v>2.032</v>
      </c>
      <c r="K61">
        <v>1.7424999999999899</v>
      </c>
      <c r="L61">
        <v>26.357691585651999</v>
      </c>
      <c r="M61">
        <v>0.65799999999999903</v>
      </c>
      <c r="N61">
        <v>0.42609999999999898</v>
      </c>
      <c r="O61">
        <v>0.65799999999999903</v>
      </c>
      <c r="P61">
        <v>1.8979999999999999</v>
      </c>
      <c r="Q61">
        <v>1.4128999999999901</v>
      </c>
      <c r="R61">
        <v>29.5494548104956</v>
      </c>
      <c r="S61">
        <v>1.0539999999999901</v>
      </c>
      <c r="T61">
        <v>0.44969999999999899</v>
      </c>
      <c r="U61">
        <v>1.0539999999999901</v>
      </c>
      <c r="V61">
        <v>1.70999999999999</v>
      </c>
      <c r="W61">
        <v>1.32499999999999</v>
      </c>
      <c r="X61">
        <v>9.2297142857142802</v>
      </c>
      <c r="Y61">
        <v>0.80999999999999905</v>
      </c>
      <c r="Z61">
        <v>0.54879999999999896</v>
      </c>
      <c r="AA61">
        <v>0.80999999999999905</v>
      </c>
      <c r="AB61">
        <v>3.452</v>
      </c>
      <c r="AC61">
        <v>2.1011999999999902</v>
      </c>
      <c r="AD61">
        <v>24.475808234955299</v>
      </c>
      <c r="AE61">
        <v>2.6719999999999899</v>
      </c>
      <c r="AF61">
        <v>1.4708999999999901</v>
      </c>
      <c r="AG61">
        <v>2.6719999999999899</v>
      </c>
      <c r="AH61">
        <v>2.8359999999999901</v>
      </c>
      <c r="AI61">
        <v>2.0100999999999898</v>
      </c>
      <c r="AJ61">
        <v>6.5316585365853603</v>
      </c>
      <c r="AK61">
        <v>2.72399999999999</v>
      </c>
      <c r="AL61">
        <v>2.0420999999999898</v>
      </c>
      <c r="AM61">
        <v>24.230571428571398</v>
      </c>
      <c r="AN61">
        <v>4.0339999999999998</v>
      </c>
      <c r="AO61">
        <v>4.5999999999999996</v>
      </c>
      <c r="AP61">
        <v>24.9277458735348</v>
      </c>
      <c r="AQ61">
        <v>15.0915552381772</v>
      </c>
      <c r="AR61">
        <v>20.009650555855998</v>
      </c>
      <c r="AS61">
        <v>0</v>
      </c>
      <c r="AT61">
        <v>0</v>
      </c>
      <c r="AU61">
        <v>0</v>
      </c>
      <c r="AV61">
        <v>0.27233184486746098</v>
      </c>
      <c r="AW61">
        <v>1.512</v>
      </c>
      <c r="AX61">
        <v>0.33139761681650598</v>
      </c>
      <c r="AY61">
        <v>9.0564693673235094E-2</v>
      </c>
      <c r="AZ61">
        <v>0.53999999999999904</v>
      </c>
      <c r="BA61">
        <v>0.12846124061318701</v>
      </c>
      <c r="BB61">
        <v>0.32028205381779101</v>
      </c>
      <c r="BC61">
        <v>1.5740000000000001</v>
      </c>
      <c r="BD61">
        <v>0.36910400316110498</v>
      </c>
      <c r="BE61">
        <v>0.31494499450589603</v>
      </c>
      <c r="BF61">
        <v>1.0182</v>
      </c>
      <c r="BG61">
        <v>0.180599554205714</v>
      </c>
      <c r="BH61" t="b">
        <v>1</v>
      </c>
      <c r="BI61" t="s">
        <v>165</v>
      </c>
    </row>
    <row r="62" spans="1:61" x14ac:dyDescent="0.25">
      <c r="A62" t="s">
        <v>62</v>
      </c>
      <c r="B62">
        <v>8</v>
      </c>
      <c r="C62">
        <v>0.15949501806576777</v>
      </c>
      <c r="D62">
        <v>0.58607845185581398</v>
      </c>
      <c r="E62">
        <v>150.69999999999999</v>
      </c>
      <c r="F62">
        <v>257.60000000000002</v>
      </c>
      <c r="G62">
        <v>0.87627482038937998</v>
      </c>
      <c r="H62">
        <v>0.12830704721802899</v>
      </c>
      <c r="I62">
        <v>0.4</v>
      </c>
      <c r="J62">
        <v>2.24399999999999</v>
      </c>
      <c r="K62">
        <v>1.7172499999999999</v>
      </c>
      <c r="L62">
        <v>9.25386528343987</v>
      </c>
      <c r="M62">
        <v>0.69299999999999995</v>
      </c>
      <c r="N62">
        <v>0.35344999999999899</v>
      </c>
      <c r="O62">
        <v>0.69299999999999995</v>
      </c>
      <c r="P62">
        <v>1.8699999999999899</v>
      </c>
      <c r="Q62">
        <v>1.15109999999999</v>
      </c>
      <c r="R62">
        <v>2.5990451997061399</v>
      </c>
      <c r="S62">
        <v>1.6099999999999901</v>
      </c>
      <c r="T62">
        <v>0.685499999999999</v>
      </c>
      <c r="U62">
        <v>1.6099999999999901</v>
      </c>
      <c r="V62">
        <v>1.9490000000000001</v>
      </c>
      <c r="W62">
        <v>1.2428999999999899</v>
      </c>
      <c r="X62">
        <v>8.4499999999999993</v>
      </c>
      <c r="Y62">
        <v>0.97599999999999998</v>
      </c>
      <c r="Z62">
        <v>0.54529999999999901</v>
      </c>
      <c r="AA62">
        <v>0.97599999999999998</v>
      </c>
      <c r="AB62">
        <v>3.86499999999999</v>
      </c>
      <c r="AC62">
        <v>2.5270999999999999</v>
      </c>
      <c r="AD62">
        <v>5.1304782608695598</v>
      </c>
      <c r="AE62">
        <v>3.3699999999999899</v>
      </c>
      <c r="AF62">
        <v>1.6830499999999899</v>
      </c>
      <c r="AG62">
        <v>3.3699999999999899</v>
      </c>
      <c r="AH62">
        <v>3.5840000000000001</v>
      </c>
      <c r="AI62">
        <v>2.18814999999999</v>
      </c>
      <c r="AJ62">
        <v>3.5840000000000001</v>
      </c>
      <c r="AK62">
        <v>3.1040000000000001</v>
      </c>
      <c r="AL62">
        <v>2.1594500000000001</v>
      </c>
      <c r="AM62">
        <v>5.9191428571428499</v>
      </c>
      <c r="AN62">
        <v>4.20399999999999</v>
      </c>
      <c r="AO62">
        <v>5.7</v>
      </c>
      <c r="AP62">
        <v>11.983863042052599</v>
      </c>
      <c r="AQ62">
        <v>15.6617260936594</v>
      </c>
      <c r="AR62">
        <v>13.822794567856</v>
      </c>
      <c r="AS62">
        <v>0</v>
      </c>
      <c r="AT62">
        <v>0</v>
      </c>
      <c r="AU62">
        <v>0</v>
      </c>
      <c r="AV62">
        <v>0.29625779448627998</v>
      </c>
      <c r="AW62">
        <v>1.673</v>
      </c>
      <c r="AX62">
        <v>0.32665489947513299</v>
      </c>
      <c r="AY62">
        <v>6.3245878099611796E-2</v>
      </c>
      <c r="AZ62">
        <v>0.56599999999999995</v>
      </c>
      <c r="BA62">
        <v>0.104240986916794</v>
      </c>
      <c r="BB62">
        <v>0.231585661383438</v>
      </c>
      <c r="BC62">
        <v>1.38</v>
      </c>
      <c r="BD62">
        <v>0.25286118332790603</v>
      </c>
      <c r="BE62">
        <v>0.28543502688535499</v>
      </c>
      <c r="BF62">
        <v>1.1364000000000001</v>
      </c>
      <c r="BG62">
        <v>0.19198578638789501</v>
      </c>
      <c r="BH62" t="b">
        <v>1</v>
      </c>
      <c r="BI62" t="s">
        <v>158</v>
      </c>
    </row>
    <row r="63" spans="1:61" x14ac:dyDescent="0.25">
      <c r="A63" t="s">
        <v>63</v>
      </c>
      <c r="B63">
        <v>8</v>
      </c>
      <c r="C63">
        <v>0.36167545350864505</v>
      </c>
      <c r="D63">
        <v>0.58607845185581398</v>
      </c>
      <c r="E63">
        <v>150.69999999999999</v>
      </c>
      <c r="F63">
        <v>257.60000000000002</v>
      </c>
      <c r="G63">
        <v>0.87627482038937998</v>
      </c>
      <c r="H63">
        <v>0.12830704721802899</v>
      </c>
      <c r="I63">
        <v>0.4</v>
      </c>
      <c r="J63">
        <v>2.24399999999999</v>
      </c>
      <c r="K63">
        <v>1.7172499999999999</v>
      </c>
      <c r="L63">
        <v>9.25386528343987</v>
      </c>
      <c r="M63">
        <v>0.69299999999999995</v>
      </c>
      <c r="N63">
        <v>0.35344999999999899</v>
      </c>
      <c r="O63">
        <v>0.69299999999999995</v>
      </c>
      <c r="P63">
        <v>1.8699999999999899</v>
      </c>
      <c r="Q63">
        <v>1.15109999999999</v>
      </c>
      <c r="R63">
        <v>2.5990451997061399</v>
      </c>
      <c r="S63">
        <v>1.6099999999999901</v>
      </c>
      <c r="T63">
        <v>0.685499999999999</v>
      </c>
      <c r="U63">
        <v>1.6099999999999901</v>
      </c>
      <c r="V63">
        <v>1.9490000000000001</v>
      </c>
      <c r="W63">
        <v>1.2428999999999899</v>
      </c>
      <c r="X63">
        <v>8.4499999999999993</v>
      </c>
      <c r="Y63">
        <v>0.97599999999999998</v>
      </c>
      <c r="Z63">
        <v>0.54529999999999901</v>
      </c>
      <c r="AA63">
        <v>0.97599999999999998</v>
      </c>
      <c r="AB63">
        <v>3.86499999999999</v>
      </c>
      <c r="AC63">
        <v>2.5270999999999999</v>
      </c>
      <c r="AD63">
        <v>5.1304782608695598</v>
      </c>
      <c r="AE63">
        <v>3.3699999999999899</v>
      </c>
      <c r="AF63">
        <v>1.6830499999999899</v>
      </c>
      <c r="AG63">
        <v>3.3699999999999899</v>
      </c>
      <c r="AH63">
        <v>3.5840000000000001</v>
      </c>
      <c r="AI63">
        <v>2.18814999999999</v>
      </c>
      <c r="AJ63">
        <v>3.5840000000000001</v>
      </c>
      <c r="AK63">
        <v>3.1040000000000001</v>
      </c>
      <c r="AL63">
        <v>2.1594500000000001</v>
      </c>
      <c r="AM63">
        <v>5.9191428571428499</v>
      </c>
      <c r="AN63">
        <v>4.20399999999999</v>
      </c>
      <c r="AO63">
        <v>5.7</v>
      </c>
      <c r="AP63">
        <v>11.983863042052599</v>
      </c>
      <c r="AQ63">
        <v>15.6617260936594</v>
      </c>
      <c r="AR63">
        <v>13.822794567856</v>
      </c>
      <c r="AS63">
        <v>0</v>
      </c>
      <c r="AT63">
        <v>0</v>
      </c>
      <c r="AU63">
        <v>0</v>
      </c>
      <c r="AV63">
        <v>0.29625779448627998</v>
      </c>
      <c r="AW63">
        <v>1.673</v>
      </c>
      <c r="AX63">
        <v>0.32665489947513299</v>
      </c>
      <c r="AY63">
        <v>6.3245878099611796E-2</v>
      </c>
      <c r="AZ63">
        <v>0.56599999999999995</v>
      </c>
      <c r="BA63">
        <v>0.104240986916794</v>
      </c>
      <c r="BB63">
        <v>0.231585661383438</v>
      </c>
      <c r="BC63">
        <v>1.38</v>
      </c>
      <c r="BD63">
        <v>0.25286118332790603</v>
      </c>
      <c r="BE63">
        <v>0.28543502688535499</v>
      </c>
      <c r="BF63">
        <v>1.1364000000000001</v>
      </c>
      <c r="BG63">
        <v>0.19198578638789501</v>
      </c>
      <c r="BH63" t="b">
        <v>1</v>
      </c>
      <c r="BI63" t="s">
        <v>158</v>
      </c>
    </row>
    <row r="64" spans="1:61" x14ac:dyDescent="0.25">
      <c r="A64" t="s">
        <v>64</v>
      </c>
      <c r="B64">
        <v>8</v>
      </c>
      <c r="C64">
        <v>0.27662439276029382</v>
      </c>
      <c r="D64">
        <v>0.90348525469168905</v>
      </c>
      <c r="E64">
        <v>337</v>
      </c>
      <c r="F64">
        <v>373</v>
      </c>
      <c r="G64">
        <v>0.869258160237388</v>
      </c>
      <c r="H64">
        <v>9.1925735749210993E-2</v>
      </c>
      <c r="I64">
        <v>0.03</v>
      </c>
      <c r="J64">
        <v>2.68</v>
      </c>
      <c r="K64">
        <v>1.7050000000000001</v>
      </c>
      <c r="L64">
        <v>35.733333333333299</v>
      </c>
      <c r="M64">
        <v>0.78</v>
      </c>
      <c r="N64">
        <v>8.2500000000000004E-2</v>
      </c>
      <c r="O64">
        <v>0.78</v>
      </c>
      <c r="P64">
        <v>2.29</v>
      </c>
      <c r="Q64">
        <v>1.5375000000000001</v>
      </c>
      <c r="R64">
        <v>2.29</v>
      </c>
      <c r="S64">
        <v>0.79</v>
      </c>
      <c r="T64">
        <v>0.47</v>
      </c>
      <c r="U64">
        <v>0.79</v>
      </c>
      <c r="V64">
        <v>2.12</v>
      </c>
      <c r="W64">
        <v>1.1200000000000001</v>
      </c>
      <c r="X64">
        <v>2.12</v>
      </c>
      <c r="Y64">
        <v>1.56</v>
      </c>
      <c r="Z64">
        <v>0.6</v>
      </c>
      <c r="AA64">
        <v>1.56</v>
      </c>
      <c r="AB64">
        <v>4.47</v>
      </c>
      <c r="AC64">
        <v>2.0525000000000002</v>
      </c>
      <c r="AD64">
        <v>4.47</v>
      </c>
      <c r="AE64">
        <v>2.95</v>
      </c>
      <c r="AF64">
        <v>0.52249999999999996</v>
      </c>
      <c r="AG64">
        <v>2.95</v>
      </c>
      <c r="AH64">
        <v>2.57</v>
      </c>
      <c r="AI64">
        <v>1.79</v>
      </c>
      <c r="AJ64">
        <v>2.57</v>
      </c>
      <c r="AK64">
        <v>3.29</v>
      </c>
      <c r="AL64">
        <v>1.85</v>
      </c>
      <c r="AM64">
        <v>3.29</v>
      </c>
      <c r="AN64">
        <v>4.47</v>
      </c>
      <c r="AO64">
        <v>7</v>
      </c>
      <c r="AP64">
        <v>7.25413082253647</v>
      </c>
      <c r="AQ64">
        <v>18.249386151136399</v>
      </c>
      <c r="AR64">
        <v>12.751758486836399</v>
      </c>
      <c r="AS64">
        <v>0</v>
      </c>
      <c r="AT64">
        <v>0</v>
      </c>
      <c r="AU64">
        <v>0</v>
      </c>
      <c r="AV64">
        <v>0.26519402985074603</v>
      </c>
      <c r="AW64">
        <v>2.5499999999999998</v>
      </c>
      <c r="AX64">
        <v>0.271792075862543</v>
      </c>
      <c r="AY64">
        <v>1.94626865671641E-2</v>
      </c>
      <c r="AZ64">
        <v>0.49</v>
      </c>
      <c r="BA64">
        <v>6.6720698383502794E-2</v>
      </c>
      <c r="BB64">
        <v>0.28041791044776099</v>
      </c>
      <c r="BC64">
        <v>2.1800000000000002</v>
      </c>
      <c r="BD64">
        <v>0.31994188601288898</v>
      </c>
      <c r="BE64">
        <v>0.20040895522388</v>
      </c>
      <c r="BF64">
        <v>1.0640000000000001</v>
      </c>
      <c r="BG64">
        <v>0.123348758963008</v>
      </c>
      <c r="BH64" t="b">
        <v>0</v>
      </c>
    </row>
    <row r="65" spans="1:61" x14ac:dyDescent="0.25">
      <c r="A65" t="s">
        <v>65</v>
      </c>
      <c r="B65">
        <v>9</v>
      </c>
      <c r="C65">
        <v>0.30646831312209133</v>
      </c>
      <c r="D65">
        <v>0.92144373673036095</v>
      </c>
      <c r="E65">
        <v>434</v>
      </c>
      <c r="F65">
        <v>471</v>
      </c>
      <c r="G65">
        <v>0.873571428571428</v>
      </c>
      <c r="H65">
        <v>8.5332717730513402E-2</v>
      </c>
      <c r="I65">
        <v>0.03</v>
      </c>
      <c r="J65">
        <v>2.68</v>
      </c>
      <c r="K65">
        <v>1.5999999999999901</v>
      </c>
      <c r="L65">
        <v>43.225806451612797</v>
      </c>
      <c r="M65">
        <v>0.78</v>
      </c>
      <c r="N65">
        <v>0.09</v>
      </c>
      <c r="O65">
        <v>0.78</v>
      </c>
      <c r="P65">
        <v>2.29</v>
      </c>
      <c r="Q65">
        <v>1.51199999999999</v>
      </c>
      <c r="R65">
        <v>2.29</v>
      </c>
      <c r="S65">
        <v>0.97</v>
      </c>
      <c r="T65">
        <v>0.497999999999999</v>
      </c>
      <c r="U65">
        <v>0.97</v>
      </c>
      <c r="V65">
        <v>2.12</v>
      </c>
      <c r="W65">
        <v>1.0519999999999901</v>
      </c>
      <c r="X65">
        <v>2.12</v>
      </c>
      <c r="Y65">
        <v>1.56</v>
      </c>
      <c r="Z65">
        <v>0.60399999999999898</v>
      </c>
      <c r="AA65">
        <v>1.56</v>
      </c>
      <c r="AB65">
        <v>4.46</v>
      </c>
      <c r="AC65">
        <v>2.0359999999999898</v>
      </c>
      <c r="AD65">
        <v>4.46</v>
      </c>
      <c r="AE65">
        <v>2.95</v>
      </c>
      <c r="AF65">
        <v>0.61799999999999899</v>
      </c>
      <c r="AG65">
        <v>2.95</v>
      </c>
      <c r="AH65">
        <v>3.28</v>
      </c>
      <c r="AI65">
        <v>1.82</v>
      </c>
      <c r="AJ65">
        <v>3.28</v>
      </c>
      <c r="AK65">
        <v>3.24</v>
      </c>
      <c r="AL65">
        <v>1.7979999999999901</v>
      </c>
      <c r="AM65">
        <v>3.24</v>
      </c>
      <c r="AN65">
        <v>4.46</v>
      </c>
      <c r="AO65">
        <v>7</v>
      </c>
      <c r="AP65">
        <v>6.8268273875459498</v>
      </c>
      <c r="AQ65">
        <v>16.6004025932118</v>
      </c>
      <c r="AR65">
        <v>11.713614990378799</v>
      </c>
      <c r="AS65">
        <v>0</v>
      </c>
      <c r="AT65">
        <v>0</v>
      </c>
      <c r="AU65">
        <v>0</v>
      </c>
      <c r="AV65">
        <v>0.25562499999999999</v>
      </c>
      <c r="AW65">
        <v>2.5499999999999998</v>
      </c>
      <c r="AX65">
        <v>0.254710398595694</v>
      </c>
      <c r="AY65">
        <v>1.8009259259259201E-2</v>
      </c>
      <c r="AZ65">
        <v>0.49</v>
      </c>
      <c r="BA65">
        <v>6.1064779715262398E-2</v>
      </c>
      <c r="BB65">
        <v>0.27071759259259198</v>
      </c>
      <c r="BC65">
        <v>2.1800000000000002</v>
      </c>
      <c r="BD65">
        <v>0.30623942743011201</v>
      </c>
      <c r="BE65">
        <v>0.196006944444444</v>
      </c>
      <c r="BF65">
        <v>1.0529999999999999</v>
      </c>
      <c r="BG65">
        <v>0.116490511646342</v>
      </c>
      <c r="BH65" t="b">
        <v>0</v>
      </c>
    </row>
    <row r="66" spans="1:61" x14ac:dyDescent="0.25">
      <c r="A66" t="s">
        <v>66</v>
      </c>
      <c r="B66">
        <v>9</v>
      </c>
      <c r="C66">
        <v>0.33538209128107954</v>
      </c>
      <c r="D66">
        <v>0.93515358361774703</v>
      </c>
      <c r="E66">
        <v>548</v>
      </c>
      <c r="F66">
        <v>586</v>
      </c>
      <c r="G66">
        <v>0.87501824817518203</v>
      </c>
      <c r="H66">
        <v>8.0556789755543895E-2</v>
      </c>
      <c r="I66">
        <v>0.03</v>
      </c>
      <c r="J66">
        <v>2.68</v>
      </c>
      <c r="K66">
        <v>1.4809999999999901</v>
      </c>
      <c r="L66">
        <v>38.285714285714199</v>
      </c>
      <c r="M66">
        <v>0.78</v>
      </c>
      <c r="N66">
        <v>8.69999999999993E-2</v>
      </c>
      <c r="O66">
        <v>0.78</v>
      </c>
      <c r="P66">
        <v>2.7</v>
      </c>
      <c r="Q66">
        <v>1.4969999999999899</v>
      </c>
      <c r="R66">
        <v>2.7</v>
      </c>
      <c r="S66">
        <v>1</v>
      </c>
      <c r="T66">
        <v>0.54</v>
      </c>
      <c r="U66">
        <v>1</v>
      </c>
      <c r="V66">
        <v>2.12</v>
      </c>
      <c r="W66">
        <v>1.02</v>
      </c>
      <c r="X66">
        <v>2.12</v>
      </c>
      <c r="Y66">
        <v>1.56</v>
      </c>
      <c r="Z66">
        <v>0.67699999999999905</v>
      </c>
      <c r="AA66">
        <v>1.56</v>
      </c>
      <c r="AB66">
        <v>4.47</v>
      </c>
      <c r="AC66">
        <v>2.0299999999999998</v>
      </c>
      <c r="AD66">
        <v>4.47</v>
      </c>
      <c r="AE66">
        <v>2.95</v>
      </c>
      <c r="AF66">
        <v>0.57999999999999996</v>
      </c>
      <c r="AG66">
        <v>2.95</v>
      </c>
      <c r="AH66">
        <v>3.26</v>
      </c>
      <c r="AI66">
        <v>1.7969999999999899</v>
      </c>
      <c r="AJ66">
        <v>3.26</v>
      </c>
      <c r="AK66">
        <v>3.19</v>
      </c>
      <c r="AL66">
        <v>1.84099999999999</v>
      </c>
      <c r="AM66">
        <v>3.19</v>
      </c>
      <c r="AN66">
        <v>4.47</v>
      </c>
      <c r="AO66">
        <v>7</v>
      </c>
      <c r="AP66">
        <v>6.7993334059576904</v>
      </c>
      <c r="AQ66">
        <v>16.442576563023898</v>
      </c>
      <c r="AR66">
        <v>11.620954984490799</v>
      </c>
      <c r="AS66">
        <v>0</v>
      </c>
      <c r="AT66">
        <v>0</v>
      </c>
      <c r="AU66">
        <v>0</v>
      </c>
      <c r="AV66">
        <v>0.24413919413919399</v>
      </c>
      <c r="AW66">
        <v>2.5499999999999998</v>
      </c>
      <c r="AX66">
        <v>0.242139598208545</v>
      </c>
      <c r="AY66">
        <v>1.8278388278388201E-2</v>
      </c>
      <c r="AZ66">
        <v>0.54</v>
      </c>
      <c r="BA66">
        <v>6.5094770092328003E-2</v>
      </c>
      <c r="BB66">
        <v>0.27717948717948698</v>
      </c>
      <c r="BC66">
        <v>2.61</v>
      </c>
      <c r="BD66">
        <v>0.318547115020131</v>
      </c>
      <c r="BE66">
        <v>0.19494688644688599</v>
      </c>
      <c r="BF66">
        <v>1.048</v>
      </c>
      <c r="BG66">
        <v>0.113727869559231</v>
      </c>
      <c r="BH66" t="b">
        <v>0</v>
      </c>
    </row>
    <row r="67" spans="1:61" x14ac:dyDescent="0.25">
      <c r="A67" t="s">
        <v>67</v>
      </c>
      <c r="B67">
        <v>9</v>
      </c>
      <c r="C67">
        <v>0.35711298124705237</v>
      </c>
      <c r="D67">
        <v>0.94428969359331405</v>
      </c>
      <c r="E67">
        <v>678</v>
      </c>
      <c r="F67">
        <v>718</v>
      </c>
      <c r="G67">
        <v>0.876991150442478</v>
      </c>
      <c r="H67">
        <v>7.7965848173366201E-2</v>
      </c>
      <c r="I67">
        <v>0.03</v>
      </c>
      <c r="J67">
        <v>2.68</v>
      </c>
      <c r="K67">
        <v>1.3659999999999899</v>
      </c>
      <c r="L67">
        <v>38.285714285714199</v>
      </c>
      <c r="M67">
        <v>0.78</v>
      </c>
      <c r="N67">
        <v>0.181999999999999</v>
      </c>
      <c r="O67">
        <v>0.78</v>
      </c>
      <c r="P67">
        <v>2.7</v>
      </c>
      <c r="Q67">
        <v>1.5</v>
      </c>
      <c r="R67">
        <v>2.7</v>
      </c>
      <c r="S67">
        <v>0.96</v>
      </c>
      <c r="T67">
        <v>0.52</v>
      </c>
      <c r="U67">
        <v>0.96</v>
      </c>
      <c r="V67">
        <v>2.12</v>
      </c>
      <c r="W67">
        <v>1</v>
      </c>
      <c r="X67">
        <v>2.12</v>
      </c>
      <c r="Y67">
        <v>1.56</v>
      </c>
      <c r="Z67">
        <v>0.77399999999999802</v>
      </c>
      <c r="AA67">
        <v>1.56</v>
      </c>
      <c r="AB67">
        <v>4.4800000000000004</v>
      </c>
      <c r="AC67">
        <v>2.0499999999999998</v>
      </c>
      <c r="AD67">
        <v>4.4800000000000004</v>
      </c>
      <c r="AE67">
        <v>2.95</v>
      </c>
      <c r="AF67">
        <v>0.58199999999999896</v>
      </c>
      <c r="AG67">
        <v>2.95</v>
      </c>
      <c r="AH67">
        <v>3.22</v>
      </c>
      <c r="AI67">
        <v>1.8139999999999901</v>
      </c>
      <c r="AJ67">
        <v>3.22</v>
      </c>
      <c r="AK67">
        <v>3.13</v>
      </c>
      <c r="AL67">
        <v>1.8259999999999901</v>
      </c>
      <c r="AM67">
        <v>3.13</v>
      </c>
      <c r="AN67">
        <v>4.4800000000000004</v>
      </c>
      <c r="AO67">
        <v>7</v>
      </c>
      <c r="AP67">
        <v>6.5091050138207098</v>
      </c>
      <c r="AQ67">
        <v>16.027750159732701</v>
      </c>
      <c r="AR67">
        <v>11.268427586776699</v>
      </c>
      <c r="AS67">
        <v>0</v>
      </c>
      <c r="AT67">
        <v>0</v>
      </c>
      <c r="AU67">
        <v>0</v>
      </c>
      <c r="AV67">
        <v>0.239659763313609</v>
      </c>
      <c r="AW67">
        <v>2.5499999999999998</v>
      </c>
      <c r="AX67">
        <v>0.23378801701909099</v>
      </c>
      <c r="AY67">
        <v>2.3727810650887499E-2</v>
      </c>
      <c r="AZ67">
        <v>0.54</v>
      </c>
      <c r="BA67">
        <v>7.2489602571717604E-2</v>
      </c>
      <c r="BB67">
        <v>0.278224852071005</v>
      </c>
      <c r="BC67">
        <v>2.61</v>
      </c>
      <c r="BD67">
        <v>0.30862711320244701</v>
      </c>
      <c r="BE67">
        <v>0.19509171597633099</v>
      </c>
      <c r="BF67">
        <v>1.04</v>
      </c>
      <c r="BG67">
        <v>0.111108563531146</v>
      </c>
      <c r="BH67" t="b">
        <v>0</v>
      </c>
    </row>
    <row r="68" spans="1:61" x14ac:dyDescent="0.25">
      <c r="A68" t="s">
        <v>68</v>
      </c>
      <c r="B68">
        <v>10</v>
      </c>
      <c r="C68">
        <v>0.42297021828916165</v>
      </c>
      <c r="D68">
        <v>0.90570719602977601</v>
      </c>
      <c r="E68">
        <v>730</v>
      </c>
      <c r="F68">
        <v>806</v>
      </c>
      <c r="G68">
        <v>0.87913698630137005</v>
      </c>
      <c r="H68">
        <v>7.8153907997056807E-2</v>
      </c>
      <c r="I68">
        <v>0.03</v>
      </c>
      <c r="J68">
        <v>2.27</v>
      </c>
      <c r="K68">
        <v>1.21799999999999</v>
      </c>
      <c r="L68">
        <v>30.675675675675599</v>
      </c>
      <c r="M68">
        <v>1.37</v>
      </c>
      <c r="N68">
        <v>0.16799999999999901</v>
      </c>
      <c r="O68">
        <v>1.37</v>
      </c>
      <c r="P68">
        <v>2.65</v>
      </c>
      <c r="Q68">
        <v>1.27799999999999</v>
      </c>
      <c r="R68">
        <v>2.65</v>
      </c>
      <c r="S68">
        <v>1.52</v>
      </c>
      <c r="T68">
        <v>0.41</v>
      </c>
      <c r="U68">
        <v>1.52</v>
      </c>
      <c r="V68">
        <v>2.11</v>
      </c>
      <c r="W68">
        <v>1.1179999999999899</v>
      </c>
      <c r="X68">
        <v>2.11</v>
      </c>
      <c r="Y68">
        <v>1.48</v>
      </c>
      <c r="Z68">
        <v>0.79599999999999904</v>
      </c>
      <c r="AA68">
        <v>1.48</v>
      </c>
      <c r="AB68">
        <v>5</v>
      </c>
      <c r="AC68">
        <v>2.1359999999999899</v>
      </c>
      <c r="AD68">
        <v>5</v>
      </c>
      <c r="AE68">
        <v>5</v>
      </c>
      <c r="AF68">
        <v>0.77799999999999903</v>
      </c>
      <c r="AG68">
        <v>5</v>
      </c>
      <c r="AH68">
        <v>3.24</v>
      </c>
      <c r="AI68">
        <v>1.73799999999999</v>
      </c>
      <c r="AJ68">
        <v>3.24</v>
      </c>
      <c r="AK68">
        <v>3.55</v>
      </c>
      <c r="AL68">
        <v>1.8259999999999901</v>
      </c>
      <c r="AM68">
        <v>3.55</v>
      </c>
      <c r="AN68">
        <v>5</v>
      </c>
      <c r="AO68">
        <v>7</v>
      </c>
      <c r="AP68">
        <v>7.0549234144650699</v>
      </c>
      <c r="AQ68">
        <v>16.560774132967801</v>
      </c>
      <c r="AR68">
        <v>11.807848773716399</v>
      </c>
      <c r="AS68">
        <v>0</v>
      </c>
      <c r="AT68">
        <v>0</v>
      </c>
      <c r="AU68">
        <v>0</v>
      </c>
      <c r="AV68">
        <v>0.23055248618784499</v>
      </c>
      <c r="AW68">
        <v>2.14</v>
      </c>
      <c r="AX68">
        <v>0.229712103643054</v>
      </c>
      <c r="AY68">
        <v>0.03</v>
      </c>
      <c r="AZ68">
        <v>1.0900000000000001</v>
      </c>
      <c r="BA68">
        <v>9.1755440021181606E-2</v>
      </c>
      <c r="BB68">
        <v>0.236049723756906</v>
      </c>
      <c r="BC68">
        <v>2.0099999999999998</v>
      </c>
      <c r="BD68">
        <v>0.28926154362699202</v>
      </c>
      <c r="BE68">
        <v>0.20186602209944701</v>
      </c>
      <c r="BF68">
        <v>1.3320000000000001</v>
      </c>
      <c r="BG68">
        <v>0.13767459033315699</v>
      </c>
      <c r="BH68" t="b">
        <v>0</v>
      </c>
    </row>
    <row r="69" spans="1:61" x14ac:dyDescent="0.25">
      <c r="A69" t="s">
        <v>69</v>
      </c>
      <c r="B69">
        <v>10</v>
      </c>
      <c r="C69">
        <f>AVERAGE(C3,C6,C12,C24,C29,C60,C68,C88,C93)</f>
        <v>0.33513769350699479</v>
      </c>
      <c r="D69">
        <v>0.20535714285714199</v>
      </c>
      <c r="E69">
        <v>23</v>
      </c>
      <c r="F69">
        <v>112</v>
      </c>
      <c r="G69">
        <v>0.92739130434782602</v>
      </c>
      <c r="H69">
        <v>0.19936757717853601</v>
      </c>
      <c r="I69">
        <v>0.03</v>
      </c>
      <c r="J69">
        <v>1.01</v>
      </c>
      <c r="K69">
        <v>0.62349999999999905</v>
      </c>
      <c r="L69">
        <v>1.01</v>
      </c>
      <c r="M69">
        <v>0.63</v>
      </c>
      <c r="N69">
        <v>0.51149999999999995</v>
      </c>
      <c r="O69">
        <v>0.63</v>
      </c>
      <c r="P69">
        <v>1.69</v>
      </c>
      <c r="Q69">
        <v>0.76099999999999901</v>
      </c>
      <c r="R69">
        <v>1.69</v>
      </c>
      <c r="S69">
        <v>0.74</v>
      </c>
      <c r="T69">
        <v>0.68799999999999994</v>
      </c>
      <c r="U69">
        <v>0.74</v>
      </c>
      <c r="V69">
        <v>1.46</v>
      </c>
      <c r="W69">
        <v>1.2535000000000001</v>
      </c>
      <c r="X69">
        <v>1.46</v>
      </c>
      <c r="Y69">
        <v>0.82</v>
      </c>
      <c r="Z69">
        <v>0.39199999999999902</v>
      </c>
      <c r="AA69">
        <v>0.82</v>
      </c>
      <c r="AB69">
        <v>3.91</v>
      </c>
      <c r="AC69">
        <v>3.4594999999999998</v>
      </c>
      <c r="AD69">
        <v>3.91</v>
      </c>
      <c r="AE69">
        <v>5</v>
      </c>
      <c r="AF69">
        <v>3.1619999999999902</v>
      </c>
      <c r="AG69">
        <v>5</v>
      </c>
      <c r="AH69">
        <v>3.44</v>
      </c>
      <c r="AI69">
        <v>2.7360000000000002</v>
      </c>
      <c r="AJ69">
        <v>3.44</v>
      </c>
      <c r="AK69">
        <v>2.4500000000000002</v>
      </c>
      <c r="AL69">
        <v>1.7344999999999999</v>
      </c>
      <c r="AM69">
        <v>2.4500000000000002</v>
      </c>
      <c r="AN69">
        <v>5</v>
      </c>
      <c r="AO69">
        <v>4</v>
      </c>
      <c r="AP69">
        <v>30.144172452318099</v>
      </c>
      <c r="AQ69">
        <v>25.0493712838792</v>
      </c>
      <c r="AR69">
        <v>27.5967718680986</v>
      </c>
      <c r="AS69">
        <v>0</v>
      </c>
      <c r="AT69">
        <v>0</v>
      </c>
      <c r="AU69">
        <v>0</v>
      </c>
      <c r="AV69">
        <v>0.198064516129032</v>
      </c>
      <c r="AW69">
        <v>0.61</v>
      </c>
      <c r="AX69">
        <v>0.21488810824118501</v>
      </c>
      <c r="AY69">
        <v>0.14774193548386999</v>
      </c>
      <c r="AZ69">
        <v>0.63</v>
      </c>
      <c r="BA69">
        <v>0.170060893788824</v>
      </c>
      <c r="BB69">
        <v>0.23548387096774101</v>
      </c>
      <c r="BC69">
        <v>1.69</v>
      </c>
      <c r="BD69">
        <v>0.344952906647226</v>
      </c>
      <c r="BE69">
        <v>0.393935483870967</v>
      </c>
      <c r="BF69">
        <v>0.91499999999999904</v>
      </c>
      <c r="BG69">
        <v>0.22624479113360399</v>
      </c>
      <c r="BH69" t="b">
        <v>0</v>
      </c>
    </row>
    <row r="70" spans="1:61" x14ac:dyDescent="0.25">
      <c r="A70" t="s">
        <v>70</v>
      </c>
      <c r="B70">
        <v>6</v>
      </c>
      <c r="C70">
        <v>-5.7635716029575956E-3</v>
      </c>
      <c r="D70">
        <v>0.26136363636363602</v>
      </c>
      <c r="E70">
        <v>92</v>
      </c>
      <c r="F70">
        <v>352</v>
      </c>
      <c r="G70">
        <v>0.83695652173913004</v>
      </c>
      <c r="H70">
        <v>0.106963474616592</v>
      </c>
      <c r="I70">
        <v>0.03</v>
      </c>
      <c r="J70">
        <v>1.75</v>
      </c>
      <c r="K70">
        <v>1.1299999999999999</v>
      </c>
      <c r="L70">
        <v>1.75</v>
      </c>
      <c r="M70">
        <v>0.75</v>
      </c>
      <c r="N70">
        <v>0.50249999999999995</v>
      </c>
      <c r="O70">
        <v>0.75</v>
      </c>
      <c r="P70">
        <v>2.77</v>
      </c>
      <c r="Q70">
        <v>1.335</v>
      </c>
      <c r="R70">
        <v>2.77</v>
      </c>
      <c r="S70">
        <v>0.74</v>
      </c>
      <c r="T70">
        <v>0.53249999999999997</v>
      </c>
      <c r="U70">
        <v>0.74</v>
      </c>
      <c r="V70">
        <v>2</v>
      </c>
      <c r="W70">
        <v>1.7475000000000001</v>
      </c>
      <c r="X70">
        <v>2</v>
      </c>
      <c r="Y70">
        <v>0.47</v>
      </c>
      <c r="Z70">
        <v>0.22500000000000001</v>
      </c>
      <c r="AA70">
        <v>0.47</v>
      </c>
      <c r="AB70">
        <v>3.33</v>
      </c>
      <c r="AC70">
        <v>2.29</v>
      </c>
      <c r="AD70">
        <v>3.33</v>
      </c>
      <c r="AE70">
        <v>1.55</v>
      </c>
      <c r="AF70">
        <v>1.0125</v>
      </c>
      <c r="AG70">
        <v>1.55</v>
      </c>
      <c r="AH70">
        <v>2.29</v>
      </c>
      <c r="AI70">
        <v>1.89</v>
      </c>
      <c r="AJ70">
        <v>2.29</v>
      </c>
      <c r="AK70">
        <v>1.84</v>
      </c>
      <c r="AL70">
        <v>1.53</v>
      </c>
      <c r="AM70">
        <v>1.84</v>
      </c>
      <c r="AN70">
        <v>3.33</v>
      </c>
      <c r="AO70">
        <v>3</v>
      </c>
      <c r="AP70">
        <v>24.7171909652347</v>
      </c>
      <c r="AQ70">
        <v>12.3131431683565</v>
      </c>
      <c r="AR70">
        <v>18.515167066795598</v>
      </c>
      <c r="AS70">
        <v>0</v>
      </c>
      <c r="AT70">
        <v>0</v>
      </c>
      <c r="AU70">
        <v>0</v>
      </c>
      <c r="AV70">
        <v>0.15642105263157799</v>
      </c>
      <c r="AW70">
        <v>1.47</v>
      </c>
      <c r="AX70">
        <v>0.27666021641403399</v>
      </c>
      <c r="AY70">
        <v>7.6947368421052598E-2</v>
      </c>
      <c r="AZ70">
        <v>0.51</v>
      </c>
      <c r="BA70">
        <v>0.138739238059336</v>
      </c>
      <c r="BB70">
        <v>0.266631578947368</v>
      </c>
      <c r="BC70">
        <v>1.81</v>
      </c>
      <c r="BD70">
        <v>0.39097344243181098</v>
      </c>
      <c r="BE70">
        <v>0.216642105263157</v>
      </c>
      <c r="BF70">
        <v>0.628</v>
      </c>
      <c r="BG70">
        <v>0.14885874023024701</v>
      </c>
      <c r="BH70" t="b">
        <v>0</v>
      </c>
    </row>
    <row r="71" spans="1:61" x14ac:dyDescent="0.25">
      <c r="A71" t="s">
        <v>71</v>
      </c>
      <c r="B71">
        <v>7</v>
      </c>
      <c r="C71">
        <f>AVERAGE(C82,C81,C83,C86,C61,C57,C50,C47,C40,C39,C30,C25,C22,C16,C10,C7,C2)</f>
        <v>0.24028879135024978</v>
      </c>
      <c r="D71">
        <v>0.861788617886178</v>
      </c>
      <c r="E71">
        <v>106</v>
      </c>
      <c r="F71">
        <v>123</v>
      </c>
      <c r="G71">
        <v>0.93462264150943397</v>
      </c>
      <c r="H71">
        <v>0.111048462421995</v>
      </c>
      <c r="I71">
        <v>0.03</v>
      </c>
      <c r="J71">
        <v>1.71</v>
      </c>
      <c r="K71">
        <v>1.1719999999999899</v>
      </c>
      <c r="L71">
        <v>1.71</v>
      </c>
      <c r="M71">
        <v>1.43</v>
      </c>
      <c r="N71">
        <v>0.60199999999999898</v>
      </c>
      <c r="O71">
        <v>1.43</v>
      </c>
      <c r="P71">
        <v>4.0199999999999996</v>
      </c>
      <c r="Q71">
        <v>2.802</v>
      </c>
      <c r="R71">
        <v>23.928571428571399</v>
      </c>
      <c r="S71">
        <v>1.18</v>
      </c>
      <c r="T71">
        <v>0.743999999999999</v>
      </c>
      <c r="U71">
        <v>1.18</v>
      </c>
      <c r="V71">
        <v>1.72</v>
      </c>
      <c r="W71">
        <v>1.0780000000000001</v>
      </c>
      <c r="X71">
        <v>1.72</v>
      </c>
      <c r="Y71">
        <v>1.0900000000000001</v>
      </c>
      <c r="Z71">
        <v>0.84599999999999898</v>
      </c>
      <c r="AA71">
        <v>1.0900000000000001</v>
      </c>
      <c r="AB71">
        <v>4.3899999999999997</v>
      </c>
      <c r="AC71">
        <v>2.4039999999999999</v>
      </c>
      <c r="AD71">
        <v>4.3899999999999997</v>
      </c>
      <c r="AE71">
        <v>2</v>
      </c>
      <c r="AF71">
        <v>1.51199999999999</v>
      </c>
      <c r="AG71">
        <v>2</v>
      </c>
      <c r="AH71">
        <v>2.54</v>
      </c>
      <c r="AI71">
        <v>1.73199999999999</v>
      </c>
      <c r="AJ71">
        <v>2.54</v>
      </c>
      <c r="AK71">
        <v>3.78</v>
      </c>
      <c r="AL71">
        <v>3.1280000000000001</v>
      </c>
      <c r="AM71">
        <v>3.78</v>
      </c>
      <c r="AN71">
        <v>4.3899999999999997</v>
      </c>
      <c r="AO71">
        <v>4</v>
      </c>
      <c r="AP71">
        <v>26.694392931097099</v>
      </c>
      <c r="AQ71">
        <v>23.289658816618999</v>
      </c>
      <c r="AR71">
        <v>24.992025873858001</v>
      </c>
      <c r="AS71">
        <v>0</v>
      </c>
      <c r="AT71">
        <v>0</v>
      </c>
      <c r="AU71">
        <v>0</v>
      </c>
      <c r="AV71">
        <v>7.1057692307692294E-2</v>
      </c>
      <c r="AW71">
        <v>0.82</v>
      </c>
      <c r="AX71">
        <v>0.160281712746115</v>
      </c>
      <c r="AY71">
        <v>8.1826923076923005E-2</v>
      </c>
      <c r="AZ71">
        <v>1.18</v>
      </c>
      <c r="BA71">
        <v>0.19270226348455499</v>
      </c>
      <c r="BB71">
        <v>0.325192307692307</v>
      </c>
      <c r="BC71">
        <v>3.17</v>
      </c>
      <c r="BD71">
        <v>0.40333461191868603</v>
      </c>
      <c r="BE71">
        <v>0.19246153846153799</v>
      </c>
      <c r="BF71">
        <v>1.169</v>
      </c>
      <c r="BG71">
        <v>0.148778999957663</v>
      </c>
      <c r="BH71" t="b">
        <v>0</v>
      </c>
    </row>
    <row r="72" spans="1:61" x14ac:dyDescent="0.25">
      <c r="A72" t="s">
        <v>72</v>
      </c>
      <c r="B72">
        <v>10</v>
      </c>
      <c r="C72">
        <f>AVERAGE(C3,C6,C12,C24,C29,C60,C68,C88,C93)</f>
        <v>0.33513769350699479</v>
      </c>
      <c r="D72">
        <v>0.4375</v>
      </c>
      <c r="E72">
        <v>42</v>
      </c>
      <c r="F72">
        <v>96</v>
      </c>
      <c r="G72">
        <v>0.90047619047618999</v>
      </c>
      <c r="H72">
        <v>5.6263854920360797E-2</v>
      </c>
      <c r="I72">
        <v>0.77</v>
      </c>
      <c r="J72">
        <v>2.06</v>
      </c>
      <c r="K72">
        <v>1.7</v>
      </c>
      <c r="L72">
        <v>2.06</v>
      </c>
      <c r="M72">
        <v>0.92</v>
      </c>
      <c r="N72">
        <v>0.74</v>
      </c>
      <c r="O72">
        <v>0.92</v>
      </c>
      <c r="P72">
        <v>1.55</v>
      </c>
      <c r="Q72">
        <v>1.22</v>
      </c>
      <c r="R72">
        <v>1.55</v>
      </c>
      <c r="S72">
        <v>1.04</v>
      </c>
      <c r="T72">
        <v>0.43</v>
      </c>
      <c r="U72">
        <v>1.04</v>
      </c>
      <c r="V72">
        <v>1.63</v>
      </c>
      <c r="W72">
        <v>1.48</v>
      </c>
      <c r="X72">
        <v>1.63</v>
      </c>
      <c r="Y72">
        <v>0.96</v>
      </c>
      <c r="Z72">
        <v>0.84</v>
      </c>
      <c r="AA72">
        <v>0.96</v>
      </c>
      <c r="AB72">
        <v>4.55</v>
      </c>
      <c r="AC72">
        <v>3.56</v>
      </c>
      <c r="AD72">
        <v>4.55</v>
      </c>
      <c r="AE72">
        <v>1.67</v>
      </c>
      <c r="AF72">
        <v>1.08</v>
      </c>
      <c r="AG72">
        <v>1.67</v>
      </c>
      <c r="AH72">
        <v>2.4900000000000002</v>
      </c>
      <c r="AI72">
        <v>2.4</v>
      </c>
      <c r="AJ72">
        <v>2.4900000000000002</v>
      </c>
      <c r="AK72">
        <v>3</v>
      </c>
      <c r="AL72">
        <v>1.92</v>
      </c>
      <c r="AM72">
        <v>3</v>
      </c>
      <c r="AN72">
        <v>4.55</v>
      </c>
      <c r="AO72">
        <v>4</v>
      </c>
      <c r="AP72">
        <v>9.5533821817505196</v>
      </c>
      <c r="AQ72">
        <v>8.1877421232675491</v>
      </c>
      <c r="AR72">
        <v>8.8705621525090397</v>
      </c>
      <c r="AS72">
        <v>0</v>
      </c>
      <c r="AT72">
        <v>0</v>
      </c>
      <c r="AU72">
        <v>0</v>
      </c>
      <c r="AV72">
        <v>0.245</v>
      </c>
      <c r="AW72">
        <v>1.51</v>
      </c>
      <c r="AX72">
        <v>0.29336836911977998</v>
      </c>
      <c r="AY72">
        <v>9.2249999999999999E-2</v>
      </c>
      <c r="AZ72">
        <v>0.5</v>
      </c>
      <c r="BA72">
        <v>0.10985188892322199</v>
      </c>
      <c r="BB72">
        <v>0.25800000000000001</v>
      </c>
      <c r="BC72">
        <v>1.17</v>
      </c>
      <c r="BD72">
        <v>0.26578374668139498</v>
      </c>
      <c r="BE72">
        <v>0.25030000000000002</v>
      </c>
      <c r="BF72">
        <v>0.93700000000000006</v>
      </c>
      <c r="BG72">
        <v>0.189639289178165</v>
      </c>
      <c r="BH72" t="b">
        <v>0</v>
      </c>
    </row>
    <row r="73" spans="1:61" x14ac:dyDescent="0.25">
      <c r="A73" t="s">
        <v>73</v>
      </c>
      <c r="B73">
        <v>9</v>
      </c>
      <c r="C73">
        <f>AVERAGE(C5,C9,C17,C27,C28,C42,C43,C59,C67,C66,C65,C74,C79,C84,C90)</f>
        <v>0.31372029859110545</v>
      </c>
      <c r="D73">
        <v>0.80745341614906796</v>
      </c>
      <c r="E73">
        <v>130</v>
      </c>
      <c r="F73">
        <v>161</v>
      </c>
      <c r="G73">
        <v>0.94992307692307698</v>
      </c>
      <c r="H73">
        <v>5.6410677886428902E-2</v>
      </c>
      <c r="I73">
        <v>0.68</v>
      </c>
      <c r="J73">
        <v>2.74</v>
      </c>
      <c r="K73">
        <v>2.093</v>
      </c>
      <c r="L73">
        <v>62.272727272727202</v>
      </c>
      <c r="M73">
        <v>0.56999999999999995</v>
      </c>
      <c r="N73">
        <v>0.40649999999999897</v>
      </c>
      <c r="O73">
        <v>0.56999999999999995</v>
      </c>
      <c r="P73">
        <v>0.53</v>
      </c>
      <c r="Q73">
        <v>0</v>
      </c>
      <c r="R73">
        <v>0.53</v>
      </c>
      <c r="S73">
        <v>0.44</v>
      </c>
      <c r="T73">
        <v>0.27649999999999902</v>
      </c>
      <c r="U73">
        <v>0.44</v>
      </c>
      <c r="V73">
        <v>2.14</v>
      </c>
      <c r="W73">
        <v>1.7009999999999901</v>
      </c>
      <c r="X73">
        <v>2.14</v>
      </c>
      <c r="Y73">
        <v>1.98</v>
      </c>
      <c r="Z73">
        <v>1.7554999999999901</v>
      </c>
      <c r="AA73">
        <v>1.98</v>
      </c>
      <c r="AB73">
        <v>2.21</v>
      </c>
      <c r="AC73">
        <v>1.8660000000000001</v>
      </c>
      <c r="AD73">
        <v>2.21</v>
      </c>
      <c r="AE73">
        <v>2.11</v>
      </c>
      <c r="AF73">
        <v>1.863</v>
      </c>
      <c r="AG73">
        <v>2.11</v>
      </c>
      <c r="AH73">
        <v>3.83</v>
      </c>
      <c r="AI73">
        <v>2.7690000000000001</v>
      </c>
      <c r="AJ73">
        <v>3.83</v>
      </c>
      <c r="AK73">
        <v>2.59</v>
      </c>
      <c r="AL73">
        <v>2.3165</v>
      </c>
      <c r="AM73">
        <v>2.59</v>
      </c>
      <c r="AN73">
        <v>3.83</v>
      </c>
      <c r="AO73">
        <v>6</v>
      </c>
      <c r="AP73">
        <v>45.127863303974799</v>
      </c>
      <c r="AQ73">
        <v>16.390939598402401</v>
      </c>
      <c r="AR73">
        <v>30.759401451188602</v>
      </c>
      <c r="AS73">
        <v>0</v>
      </c>
      <c r="AT73">
        <v>0</v>
      </c>
      <c r="AU73">
        <v>0</v>
      </c>
      <c r="AV73">
        <v>0.22952755905511801</v>
      </c>
      <c r="AW73">
        <v>1.21</v>
      </c>
      <c r="AX73">
        <v>0.2534482141819</v>
      </c>
      <c r="AY73">
        <v>2.7716535433070798E-2</v>
      </c>
      <c r="AZ73">
        <v>0.31999999999999901</v>
      </c>
      <c r="BA73">
        <v>6.9397735064562899E-2</v>
      </c>
      <c r="BB73">
        <v>1.02362204724409E-2</v>
      </c>
      <c r="BC73">
        <v>0.53</v>
      </c>
      <c r="BD73">
        <v>6.1560604118347899E-2</v>
      </c>
      <c r="BE73">
        <v>0.162606299212598</v>
      </c>
      <c r="BF73">
        <v>1.077</v>
      </c>
      <c r="BG73">
        <v>0.14949890882493899</v>
      </c>
      <c r="BH73" t="b">
        <v>0</v>
      </c>
    </row>
    <row r="74" spans="1:61" x14ac:dyDescent="0.25">
      <c r="A74" t="s">
        <v>74</v>
      </c>
      <c r="B74">
        <v>9</v>
      </c>
      <c r="C74">
        <v>3.6996755343466595E-2</v>
      </c>
      <c r="D74">
        <v>0.62419548549621495</v>
      </c>
      <c r="E74">
        <v>101.4</v>
      </c>
      <c r="F74">
        <v>170.8</v>
      </c>
      <c r="G74">
        <v>0.90322226685263896</v>
      </c>
      <c r="H74">
        <v>8.4162412509336995E-2</v>
      </c>
      <c r="I74">
        <v>0.39600000000000002</v>
      </c>
      <c r="J74">
        <v>1.77</v>
      </c>
      <c r="K74">
        <v>1.0355999999999901</v>
      </c>
      <c r="L74">
        <v>13.676545454545399</v>
      </c>
      <c r="M74">
        <v>1.296</v>
      </c>
      <c r="N74">
        <v>0.93669999999999898</v>
      </c>
      <c r="O74">
        <v>1.296</v>
      </c>
      <c r="P74">
        <v>2.524</v>
      </c>
      <c r="Q74">
        <v>1.9552</v>
      </c>
      <c r="R74">
        <v>5.0069433962264096</v>
      </c>
      <c r="S74">
        <v>1.1319999999999999</v>
      </c>
      <c r="T74">
        <v>0.60649999999999904</v>
      </c>
      <c r="U74">
        <v>1.1319999999999999</v>
      </c>
      <c r="V74">
        <v>1.81</v>
      </c>
      <c r="W74">
        <v>1.33679999999999</v>
      </c>
      <c r="X74">
        <v>1.81</v>
      </c>
      <c r="Y74">
        <v>1.248</v>
      </c>
      <c r="Z74">
        <v>1.00629999999999</v>
      </c>
      <c r="AA74">
        <v>1.248</v>
      </c>
      <c r="AB74">
        <v>3.2699999999999898</v>
      </c>
      <c r="AC74">
        <v>2.6115999999999899</v>
      </c>
      <c r="AD74">
        <v>22.088000000000001</v>
      </c>
      <c r="AE74">
        <v>2.778</v>
      </c>
      <c r="AF74">
        <v>1.96959999999999</v>
      </c>
      <c r="AG74">
        <v>2.778</v>
      </c>
      <c r="AH74">
        <v>3.05</v>
      </c>
      <c r="AI74">
        <v>1.8233999999999899</v>
      </c>
      <c r="AJ74">
        <v>3.05</v>
      </c>
      <c r="AK74">
        <v>2.63</v>
      </c>
      <c r="AL74">
        <v>1.97169999999999</v>
      </c>
      <c r="AM74">
        <v>2.63</v>
      </c>
      <c r="AN74">
        <v>3.6799999999999899</v>
      </c>
      <c r="AO74">
        <v>5.2</v>
      </c>
      <c r="AP74">
        <v>22.0096012594271</v>
      </c>
      <c r="AQ74">
        <v>15.9321869081166</v>
      </c>
      <c r="AR74">
        <v>18.9708940837718</v>
      </c>
      <c r="AS74">
        <v>0</v>
      </c>
      <c r="AT74">
        <v>0</v>
      </c>
      <c r="AU74">
        <v>0</v>
      </c>
      <c r="AV74">
        <v>0.14574259895330799</v>
      </c>
      <c r="AW74">
        <v>1.1599999999999999</v>
      </c>
      <c r="AX74">
        <v>0.22754158710956801</v>
      </c>
      <c r="AY74">
        <v>0.14206193112569601</v>
      </c>
      <c r="AZ74">
        <v>1.0779999999999901</v>
      </c>
      <c r="BA74">
        <v>0.18842742631571099</v>
      </c>
      <c r="BB74">
        <v>0.315137096556316</v>
      </c>
      <c r="BC74">
        <v>1.726</v>
      </c>
      <c r="BD74">
        <v>0.33459133730408003</v>
      </c>
      <c r="BE74">
        <v>0.242414328979592</v>
      </c>
      <c r="BF74">
        <v>1.0588</v>
      </c>
      <c r="BG74">
        <v>0.16938255684634901</v>
      </c>
      <c r="BH74" t="b">
        <v>1</v>
      </c>
      <c r="BI74" t="s">
        <v>161</v>
      </c>
    </row>
    <row r="75" spans="1:61" x14ac:dyDescent="0.25">
      <c r="A75" t="s">
        <v>75</v>
      </c>
      <c r="B75">
        <v>9</v>
      </c>
      <c r="C75">
        <v>-0.12248556014646608</v>
      </c>
      <c r="D75">
        <v>0.68867924528301805</v>
      </c>
      <c r="E75">
        <v>73</v>
      </c>
      <c r="F75">
        <v>106</v>
      </c>
      <c r="G75">
        <v>0.85986301369863005</v>
      </c>
      <c r="H75">
        <v>6.8017423231211099E-2</v>
      </c>
      <c r="I75">
        <v>0.77</v>
      </c>
      <c r="J75">
        <v>1.43</v>
      </c>
      <c r="K75">
        <v>0.59799999999999898</v>
      </c>
      <c r="L75">
        <v>1.43</v>
      </c>
      <c r="M75">
        <v>1.55</v>
      </c>
      <c r="N75">
        <v>0.85599999999999898</v>
      </c>
      <c r="O75">
        <v>1.55</v>
      </c>
      <c r="P75">
        <v>2.61</v>
      </c>
      <c r="Q75">
        <v>2.274</v>
      </c>
      <c r="R75">
        <v>2.61</v>
      </c>
      <c r="S75">
        <v>0.81</v>
      </c>
      <c r="T75">
        <v>0.49199999999999799</v>
      </c>
      <c r="U75">
        <v>0.81</v>
      </c>
      <c r="V75">
        <v>0.49</v>
      </c>
      <c r="W75">
        <v>0.23199999999999901</v>
      </c>
      <c r="X75">
        <v>0.49</v>
      </c>
      <c r="Y75">
        <v>0.81</v>
      </c>
      <c r="Z75">
        <v>0.26199999999999901</v>
      </c>
      <c r="AA75">
        <v>0.81</v>
      </c>
      <c r="AB75">
        <v>3.54</v>
      </c>
      <c r="AC75">
        <v>2.93</v>
      </c>
      <c r="AD75">
        <v>3.54</v>
      </c>
      <c r="AE75">
        <v>1.62</v>
      </c>
      <c r="AF75">
        <v>1.3240000000000001</v>
      </c>
      <c r="AG75">
        <v>1.62</v>
      </c>
      <c r="AH75">
        <v>2.13</v>
      </c>
      <c r="AI75">
        <v>1.18999999999999</v>
      </c>
      <c r="AJ75">
        <v>2.13</v>
      </c>
      <c r="AK75">
        <v>1.54</v>
      </c>
      <c r="AL75">
        <v>1.29</v>
      </c>
      <c r="AM75">
        <v>1.54</v>
      </c>
      <c r="AN75">
        <v>3.54</v>
      </c>
      <c r="AO75">
        <v>3</v>
      </c>
      <c r="AP75">
        <v>13.3386153473181</v>
      </c>
      <c r="AQ75">
        <v>9.7798705037873397</v>
      </c>
      <c r="AR75">
        <v>11.5592429255527</v>
      </c>
      <c r="AS75">
        <v>0</v>
      </c>
      <c r="AT75">
        <v>0</v>
      </c>
      <c r="AU75">
        <v>0</v>
      </c>
      <c r="AV75">
        <v>0.11430555555555499</v>
      </c>
      <c r="AW75">
        <v>1.2999999999999901</v>
      </c>
      <c r="AX75">
        <v>0.22851468703643099</v>
      </c>
      <c r="AY75">
        <v>0.12263888888888801</v>
      </c>
      <c r="AZ75">
        <v>1.18</v>
      </c>
      <c r="BA75">
        <v>0.209808067419537</v>
      </c>
      <c r="BB75">
        <v>0.23708333333333301</v>
      </c>
      <c r="BC75">
        <v>1.93</v>
      </c>
      <c r="BD75">
        <v>0.40725175635662397</v>
      </c>
      <c r="BE75">
        <v>0.16095833333333301</v>
      </c>
      <c r="BF75">
        <v>0.83099999999999996</v>
      </c>
      <c r="BG75">
        <v>0.14972042812262501</v>
      </c>
      <c r="BH75" t="b">
        <v>0</v>
      </c>
    </row>
    <row r="76" spans="1:61" x14ac:dyDescent="0.25">
      <c r="A76" t="s">
        <v>76</v>
      </c>
      <c r="B76">
        <v>10</v>
      </c>
      <c r="C76">
        <f>AVERAGE(C3,C6,C12,C24,C29,C60,C68,C88,C93)</f>
        <v>0.33513769350699479</v>
      </c>
      <c r="D76">
        <v>0.52631578947368396</v>
      </c>
      <c r="E76">
        <v>100</v>
      </c>
      <c r="F76">
        <v>190</v>
      </c>
      <c r="G76">
        <v>0.9032</v>
      </c>
      <c r="H76">
        <v>0.111099918628196</v>
      </c>
      <c r="I76">
        <v>0.03</v>
      </c>
      <c r="J76">
        <v>3.29</v>
      </c>
      <c r="K76">
        <v>2.0929999999999902</v>
      </c>
      <c r="L76">
        <v>3.29</v>
      </c>
      <c r="M76">
        <v>1.19</v>
      </c>
      <c r="N76">
        <v>0.95299999999999896</v>
      </c>
      <c r="O76">
        <v>1.19</v>
      </c>
      <c r="P76">
        <v>3.34</v>
      </c>
      <c r="Q76">
        <v>1.46599999999999</v>
      </c>
      <c r="R76">
        <v>3.34</v>
      </c>
      <c r="S76">
        <v>1.17</v>
      </c>
      <c r="T76">
        <v>0.66199999999999903</v>
      </c>
      <c r="U76">
        <v>1.17</v>
      </c>
      <c r="V76">
        <v>1.44</v>
      </c>
      <c r="W76">
        <v>1.23</v>
      </c>
      <c r="X76">
        <v>1.44</v>
      </c>
      <c r="Y76">
        <v>1.36</v>
      </c>
      <c r="Z76">
        <v>0.41599999999999898</v>
      </c>
      <c r="AA76">
        <v>1.36</v>
      </c>
      <c r="AB76">
        <v>3.14</v>
      </c>
      <c r="AC76">
        <v>2.7809999999999899</v>
      </c>
      <c r="AD76">
        <v>3.14</v>
      </c>
      <c r="AE76">
        <v>2.14</v>
      </c>
      <c r="AF76">
        <v>0.68099999999999905</v>
      </c>
      <c r="AG76">
        <v>2.14</v>
      </c>
      <c r="AH76">
        <v>3.8</v>
      </c>
      <c r="AI76">
        <v>3.15</v>
      </c>
      <c r="AJ76">
        <v>3.8</v>
      </c>
      <c r="AK76">
        <v>4.97</v>
      </c>
      <c r="AL76">
        <v>4.4509999999999996</v>
      </c>
      <c r="AM76">
        <v>4.97</v>
      </c>
      <c r="AN76">
        <v>4.97</v>
      </c>
      <c r="AO76">
        <v>6</v>
      </c>
      <c r="AP76">
        <v>87.078162927847004</v>
      </c>
      <c r="AQ76">
        <v>63.001860490454803</v>
      </c>
      <c r="AR76">
        <v>75.040011709150903</v>
      </c>
      <c r="AS76">
        <v>0</v>
      </c>
      <c r="AT76">
        <v>0</v>
      </c>
      <c r="AU76">
        <v>0</v>
      </c>
      <c r="AV76">
        <v>0.32214285714285701</v>
      </c>
      <c r="AW76">
        <v>1.89</v>
      </c>
      <c r="AX76">
        <v>0.389966639075494</v>
      </c>
      <c r="AY76">
        <v>0.13632653061224401</v>
      </c>
      <c r="AZ76">
        <v>1.0900000000000001</v>
      </c>
      <c r="BA76">
        <v>0.23917113570259499</v>
      </c>
      <c r="BB76">
        <v>0.35</v>
      </c>
      <c r="BC76">
        <v>3.34</v>
      </c>
      <c r="BD76">
        <v>0.60375694528476498</v>
      </c>
      <c r="BE76">
        <v>0.295051020408163</v>
      </c>
      <c r="BF76">
        <v>1.0629999999999999</v>
      </c>
      <c r="BG76">
        <v>0.23158179991091499</v>
      </c>
      <c r="BH76" t="b">
        <v>0</v>
      </c>
    </row>
    <row r="77" spans="1:61" x14ac:dyDescent="0.25">
      <c r="A77" t="s">
        <v>77</v>
      </c>
      <c r="B77">
        <v>7</v>
      </c>
      <c r="C77">
        <f>AVERAGE(C82,C81,C83,C86,C61,C57,C50,C47,C40,C39,C30,C25,C22,C16,C10,C7,C2)</f>
        <v>0.24028879135024978</v>
      </c>
      <c r="D77">
        <v>0.60169491525423702</v>
      </c>
      <c r="E77">
        <v>71</v>
      </c>
      <c r="F77">
        <v>118</v>
      </c>
      <c r="G77">
        <v>0.95507042253521102</v>
      </c>
      <c r="H77">
        <v>5.9949341457996699E-2</v>
      </c>
      <c r="I77">
        <v>0.77</v>
      </c>
      <c r="J77">
        <v>1.85</v>
      </c>
      <c r="K77">
        <v>1.48</v>
      </c>
      <c r="L77">
        <v>1.85</v>
      </c>
      <c r="M77">
        <v>2.42</v>
      </c>
      <c r="N77">
        <v>1.3745000000000001</v>
      </c>
      <c r="O77">
        <v>2.42</v>
      </c>
      <c r="P77">
        <v>3.28</v>
      </c>
      <c r="Q77">
        <v>2.298</v>
      </c>
      <c r="R77">
        <v>5.5877342419079996</v>
      </c>
      <c r="S77">
        <v>1.47</v>
      </c>
      <c r="T77">
        <v>1.3245</v>
      </c>
      <c r="U77">
        <v>1.47</v>
      </c>
      <c r="V77">
        <v>1.43</v>
      </c>
      <c r="W77">
        <v>1.2544999999999999</v>
      </c>
      <c r="X77">
        <v>19.8611111111111</v>
      </c>
      <c r="Y77">
        <v>1.85</v>
      </c>
      <c r="Z77">
        <v>1.42</v>
      </c>
      <c r="AA77">
        <v>1.85</v>
      </c>
      <c r="AB77">
        <v>2.97</v>
      </c>
      <c r="AC77">
        <v>1.8160000000000001</v>
      </c>
      <c r="AD77">
        <v>2.97</v>
      </c>
      <c r="AE77">
        <v>4.75</v>
      </c>
      <c r="AF77">
        <v>1.7995000000000001</v>
      </c>
      <c r="AG77">
        <v>4.75</v>
      </c>
      <c r="AH77">
        <v>5</v>
      </c>
      <c r="AI77">
        <v>1.8640000000000001</v>
      </c>
      <c r="AJ77">
        <v>5</v>
      </c>
      <c r="AK77">
        <v>2.0099999999999998</v>
      </c>
      <c r="AL77">
        <v>1.7989999999999999</v>
      </c>
      <c r="AM77">
        <v>2.0099999999999998</v>
      </c>
      <c r="AN77">
        <v>5</v>
      </c>
      <c r="AO77">
        <v>6</v>
      </c>
      <c r="AP77">
        <v>26.909138540716</v>
      </c>
      <c r="AQ77">
        <v>21.731268366017002</v>
      </c>
      <c r="AR77">
        <v>24.320203453366499</v>
      </c>
      <c r="AS77">
        <v>0</v>
      </c>
      <c r="AT77">
        <v>0</v>
      </c>
      <c r="AU77">
        <v>0</v>
      </c>
      <c r="AV77">
        <v>0.106478873239436</v>
      </c>
      <c r="AW77">
        <v>1.1299999999999999</v>
      </c>
      <c r="AX77">
        <v>0.21721086393828201</v>
      </c>
      <c r="AY77">
        <v>0.187323943661971</v>
      </c>
      <c r="AZ77">
        <v>1.65</v>
      </c>
      <c r="BA77">
        <v>0.34955487891082698</v>
      </c>
      <c r="BB77">
        <v>0.35380281690140802</v>
      </c>
      <c r="BC77">
        <v>1.82</v>
      </c>
      <c r="BD77">
        <v>0.37362090524639402</v>
      </c>
      <c r="BE77">
        <v>0.24990140845070399</v>
      </c>
      <c r="BF77">
        <v>1.681</v>
      </c>
      <c r="BG77">
        <v>0.25021760416612499</v>
      </c>
      <c r="BH77" t="b">
        <v>0</v>
      </c>
    </row>
    <row r="78" spans="1:61" x14ac:dyDescent="0.25">
      <c r="A78" t="s">
        <v>78</v>
      </c>
      <c r="B78">
        <v>10</v>
      </c>
      <c r="C78">
        <f>AVERAGE(C3,C6,C12,C24,C29,C60,C68,C88,C93)</f>
        <v>0.33513769350699479</v>
      </c>
      <c r="D78">
        <v>0.28205128205128199</v>
      </c>
      <c r="E78">
        <v>55</v>
      </c>
      <c r="F78">
        <v>195</v>
      </c>
      <c r="G78">
        <v>0.83690909090909005</v>
      </c>
      <c r="H78">
        <v>7.5593276383177296E-2</v>
      </c>
      <c r="I78">
        <v>0.62</v>
      </c>
      <c r="J78">
        <v>3.66</v>
      </c>
      <c r="K78">
        <v>2.8</v>
      </c>
      <c r="L78">
        <v>3.66</v>
      </c>
      <c r="M78">
        <v>0.72</v>
      </c>
      <c r="N78">
        <v>0.58250000000000002</v>
      </c>
      <c r="O78">
        <v>0.72</v>
      </c>
      <c r="P78">
        <v>3.55</v>
      </c>
      <c r="Q78">
        <v>2.4575</v>
      </c>
      <c r="R78">
        <v>3.55</v>
      </c>
      <c r="S78">
        <v>1.48</v>
      </c>
      <c r="T78">
        <v>0.67749999999999999</v>
      </c>
      <c r="U78">
        <v>1.48</v>
      </c>
      <c r="V78">
        <v>1</v>
      </c>
      <c r="W78">
        <v>0.62250000000000005</v>
      </c>
      <c r="X78">
        <v>1</v>
      </c>
      <c r="Y78">
        <v>0.51</v>
      </c>
      <c r="Z78">
        <v>0.39750000000000002</v>
      </c>
      <c r="AA78">
        <v>0.51</v>
      </c>
      <c r="AB78">
        <v>2.98</v>
      </c>
      <c r="AC78">
        <v>2.6274999999999999</v>
      </c>
      <c r="AD78">
        <v>2.98</v>
      </c>
      <c r="AE78">
        <v>2.93</v>
      </c>
      <c r="AF78">
        <v>1.835</v>
      </c>
      <c r="AG78">
        <v>2.93</v>
      </c>
      <c r="AH78">
        <v>3.33</v>
      </c>
      <c r="AI78">
        <v>2.3199999999999998</v>
      </c>
      <c r="AJ78">
        <v>3.33</v>
      </c>
      <c r="AK78">
        <v>3.39</v>
      </c>
      <c r="AL78">
        <v>2.8574999999999999</v>
      </c>
      <c r="AM78">
        <v>3.39</v>
      </c>
      <c r="AN78">
        <v>3.66</v>
      </c>
      <c r="AO78">
        <v>6</v>
      </c>
      <c r="AP78">
        <v>14.774169945044401</v>
      </c>
      <c r="AQ78">
        <v>14.8185875262621</v>
      </c>
      <c r="AR78">
        <v>14.796378735653199</v>
      </c>
      <c r="AS78">
        <v>0</v>
      </c>
      <c r="AT78">
        <v>0</v>
      </c>
      <c r="AU78">
        <v>0</v>
      </c>
      <c r="AV78">
        <v>0.23763636363636301</v>
      </c>
      <c r="AW78">
        <v>2.54</v>
      </c>
      <c r="AX78">
        <v>0.52516305220851001</v>
      </c>
      <c r="AY78">
        <v>5.8545454545454498E-2</v>
      </c>
      <c r="AZ78">
        <v>0.41</v>
      </c>
      <c r="BA78">
        <v>0.10602603765659099</v>
      </c>
      <c r="BB78">
        <v>0.30963636363636299</v>
      </c>
      <c r="BC78">
        <v>1.77</v>
      </c>
      <c r="BD78">
        <v>0.31733528948166601</v>
      </c>
      <c r="BE78">
        <v>0.24787272727272699</v>
      </c>
      <c r="BF78">
        <v>0.98399999999999999</v>
      </c>
      <c r="BG78">
        <v>0.226700848500273</v>
      </c>
      <c r="BH78" t="b">
        <v>0</v>
      </c>
    </row>
    <row r="79" spans="1:61" x14ac:dyDescent="0.25">
      <c r="A79" t="s">
        <v>79</v>
      </c>
      <c r="B79">
        <v>9</v>
      </c>
      <c r="C79">
        <v>3.6996755343466595E-2</v>
      </c>
      <c r="D79">
        <v>0.74033149171270696</v>
      </c>
      <c r="E79">
        <v>134</v>
      </c>
      <c r="F79">
        <v>181</v>
      </c>
      <c r="G79">
        <v>0.93223880597014896</v>
      </c>
      <c r="H79">
        <v>9.55918783400483E-2</v>
      </c>
      <c r="I79">
        <v>0.03</v>
      </c>
      <c r="J79">
        <v>2.2400000000000002</v>
      </c>
      <c r="K79">
        <v>1.571</v>
      </c>
      <c r="L79">
        <v>2.2400000000000002</v>
      </c>
      <c r="M79">
        <v>1.73</v>
      </c>
      <c r="N79">
        <v>1.0529999999999999</v>
      </c>
      <c r="O79">
        <v>1.73</v>
      </c>
      <c r="P79">
        <v>3.67</v>
      </c>
      <c r="Q79">
        <v>2.85</v>
      </c>
      <c r="R79">
        <v>3.67</v>
      </c>
      <c r="S79">
        <v>2.87</v>
      </c>
      <c r="T79">
        <v>1.3859999999999999</v>
      </c>
      <c r="U79">
        <v>2.87</v>
      </c>
      <c r="V79">
        <v>2.2400000000000002</v>
      </c>
      <c r="W79">
        <v>1.65899999999999</v>
      </c>
      <c r="X79">
        <v>2.2400000000000002</v>
      </c>
      <c r="Y79">
        <v>1.48</v>
      </c>
      <c r="Z79">
        <v>1.22</v>
      </c>
      <c r="AA79">
        <v>1.48</v>
      </c>
      <c r="AB79">
        <v>5</v>
      </c>
      <c r="AC79">
        <v>3.7559999999999998</v>
      </c>
      <c r="AD79">
        <v>5</v>
      </c>
      <c r="AE79">
        <v>5</v>
      </c>
      <c r="AF79">
        <v>4.58699999999999</v>
      </c>
      <c r="AG79">
        <v>5</v>
      </c>
      <c r="AH79">
        <v>4.32</v>
      </c>
      <c r="AI79">
        <v>2.5499999999999998</v>
      </c>
      <c r="AJ79">
        <v>4.32</v>
      </c>
      <c r="AK79">
        <v>4.3</v>
      </c>
      <c r="AL79">
        <v>3.18</v>
      </c>
      <c r="AM79">
        <v>4.3</v>
      </c>
      <c r="AN79">
        <v>5</v>
      </c>
      <c r="AO79">
        <v>8</v>
      </c>
      <c r="AP79">
        <v>24.8442601128733</v>
      </c>
      <c r="AQ79">
        <v>21.0812092711414</v>
      </c>
      <c r="AR79">
        <v>22.962734692007299</v>
      </c>
      <c r="AS79">
        <v>0</v>
      </c>
      <c r="AT79">
        <v>0</v>
      </c>
      <c r="AU79">
        <v>0</v>
      </c>
      <c r="AV79">
        <v>0.22843283582089499</v>
      </c>
      <c r="AW79">
        <v>1.01</v>
      </c>
      <c r="AX79">
        <v>0.25576590998968801</v>
      </c>
      <c r="AY79">
        <v>0.18410447761193999</v>
      </c>
      <c r="AZ79">
        <v>1.71</v>
      </c>
      <c r="BA79">
        <v>0.24127216528465301</v>
      </c>
      <c r="BB79">
        <v>0.53664179104477605</v>
      </c>
      <c r="BC79">
        <v>2.5099999999999998</v>
      </c>
      <c r="BD79">
        <v>0.46308012270508098</v>
      </c>
      <c r="BE79">
        <v>0.38214925373134301</v>
      </c>
      <c r="BF79">
        <v>1.548</v>
      </c>
      <c r="BG79">
        <v>0.26000291351589899</v>
      </c>
      <c r="BH79" t="b">
        <v>0</v>
      </c>
    </row>
    <row r="80" spans="1:61" x14ac:dyDescent="0.25">
      <c r="A80" t="s">
        <v>80</v>
      </c>
      <c r="B80">
        <v>10</v>
      </c>
      <c r="C80">
        <f>AVERAGE(C3,C6,C12,C24,C29,C60,C68,C88,C93)</f>
        <v>0.33513769350699479</v>
      </c>
      <c r="D80">
        <v>0.54545454545454497</v>
      </c>
      <c r="E80">
        <v>48</v>
      </c>
      <c r="F80">
        <v>88</v>
      </c>
      <c r="G80">
        <v>0.90375000000000005</v>
      </c>
      <c r="H80">
        <v>7.9963422489099406E-2</v>
      </c>
      <c r="I80">
        <v>0.77</v>
      </c>
      <c r="J80">
        <v>1.56</v>
      </c>
      <c r="K80">
        <v>1.2009999999999901</v>
      </c>
      <c r="L80">
        <v>1.56</v>
      </c>
      <c r="M80">
        <v>1.66</v>
      </c>
      <c r="N80">
        <v>1.5169999999999899</v>
      </c>
      <c r="O80">
        <v>1.66</v>
      </c>
      <c r="P80">
        <v>3.19</v>
      </c>
      <c r="Q80">
        <v>2.8579999999999899</v>
      </c>
      <c r="R80">
        <v>199.37499999999901</v>
      </c>
      <c r="S80">
        <v>0.69</v>
      </c>
      <c r="T80">
        <v>0.497999999999999</v>
      </c>
      <c r="U80">
        <v>0.69</v>
      </c>
      <c r="V80">
        <v>1.5</v>
      </c>
      <c r="W80">
        <v>1.2309999999999901</v>
      </c>
      <c r="X80">
        <v>1.5</v>
      </c>
      <c r="Y80">
        <v>0.5</v>
      </c>
      <c r="Z80">
        <v>0.48699999999999899</v>
      </c>
      <c r="AA80">
        <v>0.5</v>
      </c>
      <c r="AB80">
        <v>1.87</v>
      </c>
      <c r="AC80">
        <v>0.877</v>
      </c>
      <c r="AD80">
        <v>93.5</v>
      </c>
      <c r="AE80">
        <v>1.47</v>
      </c>
      <c r="AF80">
        <v>1.2769999999999999</v>
      </c>
      <c r="AG80">
        <v>1.47</v>
      </c>
      <c r="AH80">
        <v>1.25</v>
      </c>
      <c r="AI80">
        <v>0.877999999999999</v>
      </c>
      <c r="AJ80">
        <v>1.25</v>
      </c>
      <c r="AK80">
        <v>2.02</v>
      </c>
      <c r="AL80">
        <v>1.804</v>
      </c>
      <c r="AM80">
        <v>2.02</v>
      </c>
      <c r="AN80">
        <v>3.19</v>
      </c>
      <c r="AO80">
        <v>2</v>
      </c>
      <c r="AP80">
        <v>13.073563626317799</v>
      </c>
      <c r="AQ80">
        <v>19.9104997884223</v>
      </c>
      <c r="AR80">
        <v>16.492031707370099</v>
      </c>
      <c r="AS80">
        <v>0</v>
      </c>
      <c r="AT80">
        <v>0</v>
      </c>
      <c r="AU80">
        <v>0</v>
      </c>
      <c r="AV80">
        <v>0.20195652173913001</v>
      </c>
      <c r="AW80">
        <v>1.06</v>
      </c>
      <c r="AX80">
        <v>0.22308722767814099</v>
      </c>
      <c r="AY80">
        <v>0.16086956521739099</v>
      </c>
      <c r="AZ80">
        <v>0.68</v>
      </c>
      <c r="BA80">
        <v>0.15407262667688601</v>
      </c>
      <c r="BB80">
        <v>0.41695652173913</v>
      </c>
      <c r="BC80">
        <v>1.81</v>
      </c>
      <c r="BD80">
        <v>0.42673619569745402</v>
      </c>
      <c r="BE80">
        <v>0.19265217391304301</v>
      </c>
      <c r="BF80">
        <v>0.48099999999999998</v>
      </c>
      <c r="BG80">
        <v>9.7452154903183597E-2</v>
      </c>
      <c r="BH80" t="b">
        <v>0</v>
      </c>
    </row>
    <row r="81" spans="1:61" x14ac:dyDescent="0.25">
      <c r="A81" t="s">
        <v>81</v>
      </c>
      <c r="B81">
        <v>7</v>
      </c>
      <c r="C81">
        <v>2.796636969979488E-2</v>
      </c>
      <c r="D81">
        <v>0.20535714285714199</v>
      </c>
      <c r="E81">
        <v>23</v>
      </c>
      <c r="F81">
        <v>112</v>
      </c>
      <c r="G81">
        <v>0.92739130434782602</v>
      </c>
      <c r="H81">
        <v>0.19936757717853601</v>
      </c>
      <c r="I81">
        <v>0.03</v>
      </c>
      <c r="J81">
        <v>1.01</v>
      </c>
      <c r="K81">
        <v>0.62349999999999905</v>
      </c>
      <c r="L81">
        <v>1.01</v>
      </c>
      <c r="M81">
        <v>0.63</v>
      </c>
      <c r="N81">
        <v>0.51149999999999995</v>
      </c>
      <c r="O81">
        <v>0.63</v>
      </c>
      <c r="P81">
        <v>1.69</v>
      </c>
      <c r="Q81">
        <v>0.76099999999999901</v>
      </c>
      <c r="R81">
        <v>1.69</v>
      </c>
      <c r="S81">
        <v>0.74</v>
      </c>
      <c r="T81">
        <v>0.68799999999999994</v>
      </c>
      <c r="U81">
        <v>0.74</v>
      </c>
      <c r="V81">
        <v>1.46</v>
      </c>
      <c r="W81">
        <v>1.2535000000000001</v>
      </c>
      <c r="X81">
        <v>1.46</v>
      </c>
      <c r="Y81">
        <v>0.82</v>
      </c>
      <c r="Z81">
        <v>0.39199999999999902</v>
      </c>
      <c r="AA81">
        <v>0.82</v>
      </c>
      <c r="AB81">
        <v>3.91</v>
      </c>
      <c r="AC81">
        <v>3.4594999999999998</v>
      </c>
      <c r="AD81">
        <v>3.91</v>
      </c>
      <c r="AE81">
        <v>5</v>
      </c>
      <c r="AF81">
        <v>3.1619999999999902</v>
      </c>
      <c r="AG81">
        <v>5</v>
      </c>
      <c r="AH81">
        <v>3.44</v>
      </c>
      <c r="AI81">
        <v>2.7360000000000002</v>
      </c>
      <c r="AJ81">
        <v>3.44</v>
      </c>
      <c r="AK81">
        <v>2.4500000000000002</v>
      </c>
      <c r="AL81">
        <v>1.7344999999999999</v>
      </c>
      <c r="AM81">
        <v>2.4500000000000002</v>
      </c>
      <c r="AN81">
        <v>5</v>
      </c>
      <c r="AO81">
        <v>4</v>
      </c>
      <c r="AP81">
        <v>30.144172452318099</v>
      </c>
      <c r="AQ81">
        <v>25.0493712838792</v>
      </c>
      <c r="AR81">
        <v>27.5967718680986</v>
      </c>
      <c r="AS81">
        <v>0</v>
      </c>
      <c r="AT81">
        <v>0</v>
      </c>
      <c r="AU81">
        <v>0</v>
      </c>
      <c r="AV81">
        <v>0.198064516129032</v>
      </c>
      <c r="AW81">
        <v>0.61</v>
      </c>
      <c r="AX81">
        <v>0.21488810824118501</v>
      </c>
      <c r="AY81">
        <v>0.14774193548386999</v>
      </c>
      <c r="AZ81">
        <v>0.63</v>
      </c>
      <c r="BA81">
        <v>0.170060893788824</v>
      </c>
      <c r="BB81">
        <v>0.23548387096774101</v>
      </c>
      <c r="BC81">
        <v>1.69</v>
      </c>
      <c r="BD81">
        <v>0.344952906647226</v>
      </c>
      <c r="BE81">
        <v>0.393935483870967</v>
      </c>
      <c r="BF81">
        <v>0.91499999999999904</v>
      </c>
      <c r="BG81">
        <v>0.22624479113360399</v>
      </c>
      <c r="BH81" t="b">
        <v>0</v>
      </c>
    </row>
    <row r="82" spans="1:61" x14ac:dyDescent="0.25">
      <c r="A82" t="s">
        <v>82</v>
      </c>
      <c r="B82">
        <v>7</v>
      </c>
      <c r="C82">
        <v>6.9032365850130173E-3</v>
      </c>
      <c r="D82">
        <v>0.10280373831775701</v>
      </c>
      <c r="E82">
        <v>11</v>
      </c>
      <c r="F82">
        <v>107</v>
      </c>
      <c r="G82">
        <v>0.89363636363636301</v>
      </c>
      <c r="H82">
        <v>0.28643577734887499</v>
      </c>
      <c r="I82">
        <v>0.03</v>
      </c>
      <c r="J82">
        <v>0.9</v>
      </c>
      <c r="K82">
        <v>0.57999999999999896</v>
      </c>
      <c r="L82">
        <v>0.9</v>
      </c>
      <c r="M82">
        <v>0.08</v>
      </c>
      <c r="N82">
        <v>6.3999999999999904E-2</v>
      </c>
      <c r="O82">
        <v>0.08</v>
      </c>
      <c r="P82">
        <v>0.96</v>
      </c>
      <c r="Q82">
        <v>0.93600000000000005</v>
      </c>
      <c r="R82">
        <v>0.96</v>
      </c>
      <c r="S82">
        <v>0.54</v>
      </c>
      <c r="T82">
        <v>0.50800000000000001</v>
      </c>
      <c r="U82">
        <v>0.54</v>
      </c>
      <c r="V82">
        <v>1</v>
      </c>
      <c r="W82">
        <v>0.98399999999999999</v>
      </c>
      <c r="X82">
        <v>1</v>
      </c>
      <c r="Y82">
        <v>0.65</v>
      </c>
      <c r="Z82">
        <v>0.27399999999999902</v>
      </c>
      <c r="AA82">
        <v>0.65</v>
      </c>
      <c r="AB82">
        <v>3.13</v>
      </c>
      <c r="AC82">
        <v>2.8340000000000001</v>
      </c>
      <c r="AD82">
        <v>20.324675324675301</v>
      </c>
      <c r="AE82">
        <v>2.92</v>
      </c>
      <c r="AF82">
        <v>1.1199999999999899</v>
      </c>
      <c r="AG82">
        <v>2.92</v>
      </c>
      <c r="AH82">
        <v>2.14</v>
      </c>
      <c r="AI82">
        <v>1.6759999999999899</v>
      </c>
      <c r="AJ82">
        <v>2.14</v>
      </c>
      <c r="AK82">
        <v>1.85</v>
      </c>
      <c r="AL82">
        <v>1.5539999999999901</v>
      </c>
      <c r="AM82">
        <v>1.85</v>
      </c>
      <c r="AN82">
        <v>3.13</v>
      </c>
      <c r="AO82">
        <v>3</v>
      </c>
      <c r="AP82">
        <v>39.817678161323897</v>
      </c>
      <c r="AQ82">
        <v>23.208976431696499</v>
      </c>
      <c r="AR82">
        <v>31.513327296510202</v>
      </c>
      <c r="AS82">
        <v>0</v>
      </c>
      <c r="AT82">
        <v>0</v>
      </c>
      <c r="AU82">
        <v>0</v>
      </c>
      <c r="AV82">
        <v>0.185</v>
      </c>
      <c r="AW82">
        <v>0.73</v>
      </c>
      <c r="AX82">
        <v>0.246652589688411</v>
      </c>
      <c r="AY82">
        <v>0.01</v>
      </c>
      <c r="AZ82">
        <v>0.06</v>
      </c>
      <c r="BA82">
        <v>1.9039432764659699E-2</v>
      </c>
      <c r="BB82">
        <v>0.31687500000000002</v>
      </c>
      <c r="BC82">
        <v>0.96</v>
      </c>
      <c r="BD82">
        <v>0.30256649579059403</v>
      </c>
      <c r="BE82">
        <v>0.35525000000000001</v>
      </c>
      <c r="BF82">
        <v>0.70099999999999996</v>
      </c>
      <c r="BG82">
        <v>0.181428188272936</v>
      </c>
      <c r="BH82" t="b">
        <v>0</v>
      </c>
    </row>
    <row r="83" spans="1:61" x14ac:dyDescent="0.25">
      <c r="A83" t="s">
        <v>83</v>
      </c>
      <c r="B83">
        <v>7</v>
      </c>
      <c r="C83">
        <v>-5.1371382939697847E-2</v>
      </c>
      <c r="D83">
        <v>0.59504132231404905</v>
      </c>
      <c r="E83">
        <v>72</v>
      </c>
      <c r="F83">
        <v>121</v>
      </c>
      <c r="G83">
        <v>0.89027777777777695</v>
      </c>
      <c r="H83">
        <v>0.118321265006501</v>
      </c>
      <c r="I83">
        <v>0.03</v>
      </c>
      <c r="J83">
        <v>1.0900000000000001</v>
      </c>
      <c r="K83">
        <v>0.50349999999999995</v>
      </c>
      <c r="L83">
        <v>1.0900000000000001</v>
      </c>
      <c r="M83">
        <v>1.41</v>
      </c>
      <c r="N83">
        <v>1.0449999999999999</v>
      </c>
      <c r="O83">
        <v>1.41</v>
      </c>
      <c r="P83">
        <v>2.77</v>
      </c>
      <c r="Q83">
        <v>2.3580000000000001</v>
      </c>
      <c r="R83">
        <v>2.77</v>
      </c>
      <c r="S83">
        <v>0.65</v>
      </c>
      <c r="T83">
        <v>0.44800000000000001</v>
      </c>
      <c r="U83">
        <v>0.65</v>
      </c>
      <c r="V83">
        <v>1.75</v>
      </c>
      <c r="W83">
        <v>1.1755</v>
      </c>
      <c r="X83">
        <v>1.75</v>
      </c>
      <c r="Y83">
        <v>1.43</v>
      </c>
      <c r="Z83">
        <v>1.2235</v>
      </c>
      <c r="AA83">
        <v>1.43</v>
      </c>
      <c r="AB83">
        <v>2.4500000000000002</v>
      </c>
      <c r="AC83">
        <v>2.15</v>
      </c>
      <c r="AD83">
        <v>2.4500000000000002</v>
      </c>
      <c r="AE83">
        <v>1.04</v>
      </c>
      <c r="AF83">
        <v>0.71699999999999997</v>
      </c>
      <c r="AG83">
        <v>1.04</v>
      </c>
      <c r="AH83">
        <v>1.64</v>
      </c>
      <c r="AI83">
        <v>1.085</v>
      </c>
      <c r="AJ83">
        <v>1.64</v>
      </c>
      <c r="AK83">
        <v>2.2000000000000002</v>
      </c>
      <c r="AL83">
        <v>1.7645</v>
      </c>
      <c r="AM83">
        <v>2.2000000000000002</v>
      </c>
      <c r="AN83">
        <v>2.77</v>
      </c>
      <c r="AO83">
        <v>3</v>
      </c>
      <c r="AP83">
        <v>5.1207068085654202</v>
      </c>
      <c r="AQ83">
        <v>8.9992720375884101</v>
      </c>
      <c r="AR83">
        <v>7.0599894230769102</v>
      </c>
      <c r="AS83">
        <v>0</v>
      </c>
      <c r="AT83">
        <v>0</v>
      </c>
      <c r="AU83">
        <v>0</v>
      </c>
      <c r="AV83">
        <v>8.9718309859154896E-2</v>
      </c>
      <c r="AW83">
        <v>0.84</v>
      </c>
      <c r="AX83">
        <v>0.18295671643119299</v>
      </c>
      <c r="AY83">
        <v>0.19394366197182999</v>
      </c>
      <c r="AZ83">
        <v>0.93</v>
      </c>
      <c r="BA83">
        <v>0.19532190023996401</v>
      </c>
      <c r="BB83">
        <v>0.398450704225352</v>
      </c>
      <c r="BC83">
        <v>1.51</v>
      </c>
      <c r="BD83">
        <v>0.33692749204223399</v>
      </c>
      <c r="BE83">
        <v>0.28559154929577402</v>
      </c>
      <c r="BF83">
        <v>0.60699999999999998</v>
      </c>
      <c r="BG83">
        <v>0.121399999705871</v>
      </c>
      <c r="BH83" t="b">
        <v>0</v>
      </c>
    </row>
    <row r="84" spans="1:61" x14ac:dyDescent="0.25">
      <c r="A84" t="s">
        <v>84</v>
      </c>
      <c r="B84">
        <v>9</v>
      </c>
      <c r="C84">
        <v>6.9032365850130173E-3</v>
      </c>
      <c r="D84">
        <v>0.65</v>
      </c>
      <c r="E84">
        <v>117</v>
      </c>
      <c r="F84">
        <v>180</v>
      </c>
      <c r="G84">
        <v>0.91880341880341798</v>
      </c>
      <c r="H84">
        <v>7.0797944558639997E-2</v>
      </c>
      <c r="I84">
        <v>0.47</v>
      </c>
      <c r="J84">
        <v>1.59</v>
      </c>
      <c r="K84">
        <v>0.59599999999999898</v>
      </c>
      <c r="L84">
        <v>1.59</v>
      </c>
      <c r="M84">
        <v>2.1</v>
      </c>
      <c r="N84">
        <v>1.94799999999999</v>
      </c>
      <c r="O84">
        <v>2.1</v>
      </c>
      <c r="P84">
        <v>3.34</v>
      </c>
      <c r="Q84">
        <v>2.8519999999999999</v>
      </c>
      <c r="R84">
        <v>15.754716981132001</v>
      </c>
      <c r="S84">
        <v>0.9</v>
      </c>
      <c r="T84">
        <v>0.55599999999999905</v>
      </c>
      <c r="U84">
        <v>0.9</v>
      </c>
      <c r="V84">
        <v>2.36</v>
      </c>
      <c r="W84">
        <v>1.68599999999999</v>
      </c>
      <c r="X84">
        <v>2.36</v>
      </c>
      <c r="Y84">
        <v>1.89</v>
      </c>
      <c r="Z84">
        <v>1.74399999999999</v>
      </c>
      <c r="AA84">
        <v>1.89</v>
      </c>
      <c r="AB84">
        <v>2.91</v>
      </c>
      <c r="AC84">
        <v>2.2599999999999998</v>
      </c>
      <c r="AD84">
        <v>97</v>
      </c>
      <c r="AE84">
        <v>3.33</v>
      </c>
      <c r="AF84">
        <v>0.79399999999999804</v>
      </c>
      <c r="AG84">
        <v>3.33</v>
      </c>
      <c r="AH84">
        <v>3.33</v>
      </c>
      <c r="AI84">
        <v>1.3099999999999901</v>
      </c>
      <c r="AJ84">
        <v>3.33</v>
      </c>
      <c r="AK84">
        <v>2.99</v>
      </c>
      <c r="AL84">
        <v>1.8340000000000001</v>
      </c>
      <c r="AM84">
        <v>2.99</v>
      </c>
      <c r="AN84">
        <v>3.34</v>
      </c>
      <c r="AO84">
        <v>7</v>
      </c>
      <c r="AP84">
        <v>13.8286256309395</v>
      </c>
      <c r="AQ84">
        <v>20.169066260283198</v>
      </c>
      <c r="AR84">
        <v>16.9988459456114</v>
      </c>
      <c r="AS84">
        <v>0</v>
      </c>
      <c r="AT84">
        <v>0</v>
      </c>
      <c r="AU84">
        <v>0</v>
      </c>
      <c r="AV84">
        <v>6.9482758620689603E-2</v>
      </c>
      <c r="AW84">
        <v>1.43</v>
      </c>
      <c r="AX84">
        <v>0.20671838593130701</v>
      </c>
      <c r="AY84">
        <v>0.296206896551724</v>
      </c>
      <c r="AZ84">
        <v>1.67</v>
      </c>
      <c r="BA84">
        <v>0.30296140408677502</v>
      </c>
      <c r="BB84">
        <v>0.44672413793103399</v>
      </c>
      <c r="BC84">
        <v>2.13</v>
      </c>
      <c r="BD84">
        <v>0.39523187402453502</v>
      </c>
      <c r="BE84">
        <v>0.27373275862068902</v>
      </c>
      <c r="BF84">
        <v>1.2909999999999999</v>
      </c>
      <c r="BG84">
        <v>0.173351663596575</v>
      </c>
      <c r="BH84" t="b">
        <v>0</v>
      </c>
    </row>
    <row r="85" spans="1:61" x14ac:dyDescent="0.25">
      <c r="A85" t="s">
        <v>85</v>
      </c>
      <c r="B85">
        <v>6</v>
      </c>
      <c r="C85">
        <v>-6.3505328957897705E-2</v>
      </c>
      <c r="D85">
        <v>0.75838926174496601</v>
      </c>
      <c r="E85">
        <v>113</v>
      </c>
      <c r="F85">
        <v>149</v>
      </c>
      <c r="G85">
        <v>0.92407079646017698</v>
      </c>
      <c r="H85">
        <v>0.115716997517817</v>
      </c>
      <c r="I85">
        <v>0.03</v>
      </c>
      <c r="J85">
        <v>1.9</v>
      </c>
      <c r="K85">
        <v>1.51</v>
      </c>
      <c r="L85">
        <v>1.9</v>
      </c>
      <c r="M85">
        <v>0.83</v>
      </c>
      <c r="N85">
        <v>0.61749999999999905</v>
      </c>
      <c r="O85">
        <v>0.83</v>
      </c>
      <c r="P85">
        <v>4.01</v>
      </c>
      <c r="Q85">
        <v>3.1775000000000002</v>
      </c>
      <c r="R85">
        <v>33.4166666666666</v>
      </c>
      <c r="S85">
        <v>1.5</v>
      </c>
      <c r="T85">
        <v>0.95250000000000001</v>
      </c>
      <c r="U85">
        <v>1.5</v>
      </c>
      <c r="V85">
        <v>3.59</v>
      </c>
      <c r="W85">
        <v>0.85</v>
      </c>
      <c r="X85">
        <v>3.59</v>
      </c>
      <c r="Y85">
        <v>1.01</v>
      </c>
      <c r="Z85">
        <v>0.73</v>
      </c>
      <c r="AA85">
        <v>1.01</v>
      </c>
      <c r="AB85">
        <v>5</v>
      </c>
      <c r="AC85">
        <v>3.95</v>
      </c>
      <c r="AD85">
        <v>5</v>
      </c>
      <c r="AE85">
        <v>2.67</v>
      </c>
      <c r="AF85">
        <v>1.01</v>
      </c>
      <c r="AG85">
        <v>2.67</v>
      </c>
      <c r="AH85">
        <v>2.91</v>
      </c>
      <c r="AI85">
        <v>1.6924999999999999</v>
      </c>
      <c r="AJ85">
        <v>2.91</v>
      </c>
      <c r="AK85">
        <v>4.9000000000000004</v>
      </c>
      <c r="AL85">
        <v>2.4224999999999999</v>
      </c>
      <c r="AM85">
        <v>4.9000000000000004</v>
      </c>
      <c r="AN85">
        <v>5</v>
      </c>
      <c r="AO85">
        <v>6</v>
      </c>
      <c r="AP85">
        <v>20.812211135046098</v>
      </c>
      <c r="AQ85">
        <v>20.223712192036601</v>
      </c>
      <c r="AR85">
        <v>20.5179616635413</v>
      </c>
      <c r="AS85">
        <v>0</v>
      </c>
      <c r="AT85">
        <v>0</v>
      </c>
      <c r="AU85">
        <v>0</v>
      </c>
      <c r="AV85">
        <v>0.126782608695652</v>
      </c>
      <c r="AW85">
        <v>1.9</v>
      </c>
      <c r="AX85">
        <v>0.24492606808581499</v>
      </c>
      <c r="AY85">
        <v>9.0956521739130394E-2</v>
      </c>
      <c r="AZ85">
        <v>0.66999999999999904</v>
      </c>
      <c r="BA85">
        <v>0.15340185313229901</v>
      </c>
      <c r="BB85">
        <v>0.44930434782608603</v>
      </c>
      <c r="BC85">
        <v>2.66</v>
      </c>
      <c r="BD85">
        <v>0.50553238702275205</v>
      </c>
      <c r="BE85">
        <v>0.235008695652173</v>
      </c>
      <c r="BF85">
        <v>1.0129999999999899</v>
      </c>
      <c r="BG85">
        <v>0.21171529264976799</v>
      </c>
      <c r="BH85" t="b">
        <v>0</v>
      </c>
    </row>
    <row r="86" spans="1:61" x14ac:dyDescent="0.25">
      <c r="A86" t="s">
        <v>86</v>
      </c>
      <c r="B86">
        <v>7</v>
      </c>
      <c r="C86">
        <v>-2.201098555244746E-2</v>
      </c>
      <c r="D86">
        <v>0.71921182266009798</v>
      </c>
      <c r="E86">
        <v>146</v>
      </c>
      <c r="F86">
        <v>203</v>
      </c>
      <c r="G86">
        <v>0.91136986301369804</v>
      </c>
      <c r="H86">
        <v>0.113518220545616</v>
      </c>
      <c r="I86">
        <v>0.03</v>
      </c>
      <c r="J86">
        <v>1.84</v>
      </c>
      <c r="K86">
        <v>1.135</v>
      </c>
      <c r="L86">
        <v>1.84</v>
      </c>
      <c r="M86">
        <v>1.04</v>
      </c>
      <c r="N86">
        <v>0.59749999999999903</v>
      </c>
      <c r="O86">
        <v>1.04</v>
      </c>
      <c r="P86">
        <v>3.79</v>
      </c>
      <c r="Q86">
        <v>2.5825</v>
      </c>
      <c r="R86">
        <v>84.2222222222222</v>
      </c>
      <c r="S86">
        <v>1.47</v>
      </c>
      <c r="T86">
        <v>0.88500000000000001</v>
      </c>
      <c r="U86">
        <v>1.47</v>
      </c>
      <c r="V86">
        <v>1.1200000000000001</v>
      </c>
      <c r="W86">
        <v>0.88749999999999996</v>
      </c>
      <c r="X86">
        <v>1.1200000000000001</v>
      </c>
      <c r="Y86">
        <v>1.0900000000000001</v>
      </c>
      <c r="Z86">
        <v>0.65749999999999997</v>
      </c>
      <c r="AA86">
        <v>1.0900000000000001</v>
      </c>
      <c r="AB86">
        <v>4.16</v>
      </c>
      <c r="AC86">
        <v>3.4175</v>
      </c>
      <c r="AD86">
        <v>4.16</v>
      </c>
      <c r="AE86">
        <v>2.7</v>
      </c>
      <c r="AF86">
        <v>0.97</v>
      </c>
      <c r="AG86">
        <v>2.7</v>
      </c>
      <c r="AH86">
        <v>3.09</v>
      </c>
      <c r="AI86">
        <v>1.915</v>
      </c>
      <c r="AJ86">
        <v>3.09</v>
      </c>
      <c r="AK86">
        <v>2.57</v>
      </c>
      <c r="AL86">
        <v>2.0299999999999998</v>
      </c>
      <c r="AM86">
        <v>2.57</v>
      </c>
      <c r="AN86">
        <v>4.16</v>
      </c>
      <c r="AO86">
        <v>5</v>
      </c>
      <c r="AP86">
        <v>21.134647517348601</v>
      </c>
      <c r="AQ86">
        <v>13.7585654896553</v>
      </c>
      <c r="AR86">
        <v>17.446606503502</v>
      </c>
      <c r="AS86">
        <v>0</v>
      </c>
      <c r="AT86">
        <v>0</v>
      </c>
      <c r="AU86">
        <v>0</v>
      </c>
      <c r="AV86">
        <v>0.113103448275862</v>
      </c>
      <c r="AW86">
        <v>1.75</v>
      </c>
      <c r="AX86">
        <v>0.219015090777118</v>
      </c>
      <c r="AY86">
        <v>8.6413793103448197E-2</v>
      </c>
      <c r="AZ86">
        <v>0.82</v>
      </c>
      <c r="BA86">
        <v>0.160961232694211</v>
      </c>
      <c r="BB86">
        <v>0.415310344827586</v>
      </c>
      <c r="BC86">
        <v>2.4300000000000002</v>
      </c>
      <c r="BD86">
        <v>0.49174012645090298</v>
      </c>
      <c r="BE86">
        <v>0.20735862068965499</v>
      </c>
      <c r="BF86">
        <v>0.92600000000000005</v>
      </c>
      <c r="BG86">
        <v>0.17962162053498601</v>
      </c>
      <c r="BH86" t="b">
        <v>0</v>
      </c>
    </row>
    <row r="87" spans="1:61" x14ac:dyDescent="0.25">
      <c r="A87" t="s">
        <v>87</v>
      </c>
      <c r="B87">
        <v>9</v>
      </c>
      <c r="C87">
        <v>-2.3193612625636063E-2</v>
      </c>
      <c r="D87">
        <v>0.234513274336283</v>
      </c>
      <c r="E87">
        <v>53</v>
      </c>
      <c r="F87">
        <v>226</v>
      </c>
      <c r="G87">
        <v>0.85528301886792402</v>
      </c>
      <c r="H87">
        <v>0.12999413853035599</v>
      </c>
      <c r="I87">
        <v>0.03</v>
      </c>
      <c r="J87">
        <v>0.85</v>
      </c>
      <c r="K87">
        <v>0.31999999999999901</v>
      </c>
      <c r="L87">
        <v>0.85</v>
      </c>
      <c r="M87">
        <v>0.53</v>
      </c>
      <c r="N87">
        <v>0.42</v>
      </c>
      <c r="O87">
        <v>0.53</v>
      </c>
      <c r="P87">
        <v>2.4700000000000002</v>
      </c>
      <c r="Q87">
        <v>1.7999999999999901</v>
      </c>
      <c r="R87">
        <v>2.4700000000000002</v>
      </c>
      <c r="S87">
        <v>0.64</v>
      </c>
      <c r="T87">
        <v>0.32199999999999901</v>
      </c>
      <c r="U87">
        <v>0.64</v>
      </c>
      <c r="V87">
        <v>1.82</v>
      </c>
      <c r="W87">
        <v>1.4059999999999899</v>
      </c>
      <c r="X87">
        <v>1.82</v>
      </c>
      <c r="Y87">
        <v>0.08</v>
      </c>
      <c r="Z87">
        <v>0.05</v>
      </c>
      <c r="AA87">
        <v>0.08</v>
      </c>
      <c r="AB87">
        <v>2.69</v>
      </c>
      <c r="AC87">
        <v>2.2459999999999898</v>
      </c>
      <c r="AD87">
        <v>2.69</v>
      </c>
      <c r="AE87">
        <v>1.83</v>
      </c>
      <c r="AF87">
        <v>1.27999999999999</v>
      </c>
      <c r="AG87">
        <v>1.83</v>
      </c>
      <c r="AH87">
        <v>1.64</v>
      </c>
      <c r="AI87">
        <v>1.2979999999999901</v>
      </c>
      <c r="AJ87">
        <v>1.64</v>
      </c>
      <c r="AK87">
        <v>1.73</v>
      </c>
      <c r="AL87">
        <v>1.23799999999999</v>
      </c>
      <c r="AM87">
        <v>1.73</v>
      </c>
      <c r="AN87">
        <v>2.69</v>
      </c>
      <c r="AO87">
        <v>2</v>
      </c>
      <c r="AP87">
        <v>12.9086419020297</v>
      </c>
      <c r="AQ87">
        <v>12.2398489069686</v>
      </c>
      <c r="AR87">
        <v>12.5742454044991</v>
      </c>
      <c r="AS87">
        <v>0</v>
      </c>
      <c r="AT87">
        <v>0</v>
      </c>
      <c r="AU87">
        <v>0</v>
      </c>
      <c r="AV87">
        <v>8.6964285714285702E-2</v>
      </c>
      <c r="AW87">
        <v>0.85</v>
      </c>
      <c r="AX87">
        <v>0.19326073840851399</v>
      </c>
      <c r="AY87">
        <v>7.9642857142857099E-2</v>
      </c>
      <c r="AZ87">
        <v>0.51</v>
      </c>
      <c r="BA87">
        <v>0.118697759723026</v>
      </c>
      <c r="BB87">
        <v>0.34499999999999997</v>
      </c>
      <c r="BC87">
        <v>1.53</v>
      </c>
      <c r="BD87">
        <v>0.34583232931581098</v>
      </c>
      <c r="BE87">
        <v>0.232625</v>
      </c>
      <c r="BF87">
        <v>0.54699999999999904</v>
      </c>
      <c r="BG87">
        <v>0.114338870171708</v>
      </c>
      <c r="BH87" t="b">
        <v>0</v>
      </c>
    </row>
    <row r="88" spans="1:61" x14ac:dyDescent="0.25">
      <c r="A88" t="s">
        <v>88</v>
      </c>
      <c r="B88">
        <v>10</v>
      </c>
      <c r="C88">
        <v>3.6925764770045499E-3</v>
      </c>
      <c r="D88">
        <v>0.26136363636363602</v>
      </c>
      <c r="E88">
        <v>92</v>
      </c>
      <c r="F88">
        <v>352</v>
      </c>
      <c r="G88">
        <v>0.83695652173913004</v>
      </c>
      <c r="H88">
        <v>0.106963474616592</v>
      </c>
      <c r="I88">
        <v>0.03</v>
      </c>
      <c r="J88">
        <v>1.75</v>
      </c>
      <c r="K88">
        <v>1.1299999999999999</v>
      </c>
      <c r="L88">
        <v>1.75</v>
      </c>
      <c r="M88">
        <v>0.75</v>
      </c>
      <c r="N88">
        <v>0.50249999999999995</v>
      </c>
      <c r="O88">
        <v>0.75</v>
      </c>
      <c r="P88">
        <v>2.77</v>
      </c>
      <c r="Q88">
        <v>1.335</v>
      </c>
      <c r="R88">
        <v>2.77</v>
      </c>
      <c r="S88">
        <v>0.74</v>
      </c>
      <c r="T88">
        <v>0.53249999999999997</v>
      </c>
      <c r="U88">
        <v>0.74</v>
      </c>
      <c r="V88">
        <v>2</v>
      </c>
      <c r="W88">
        <v>1.7475000000000001</v>
      </c>
      <c r="X88">
        <v>2</v>
      </c>
      <c r="Y88">
        <v>0.47</v>
      </c>
      <c r="Z88">
        <v>0.22500000000000001</v>
      </c>
      <c r="AA88">
        <v>0.47</v>
      </c>
      <c r="AB88">
        <v>3.33</v>
      </c>
      <c r="AC88">
        <v>2.29</v>
      </c>
      <c r="AD88">
        <v>3.33</v>
      </c>
      <c r="AE88">
        <v>1.55</v>
      </c>
      <c r="AF88">
        <v>1.0125</v>
      </c>
      <c r="AG88">
        <v>1.55</v>
      </c>
      <c r="AH88">
        <v>2.29</v>
      </c>
      <c r="AI88">
        <v>1.89</v>
      </c>
      <c r="AJ88">
        <v>2.29</v>
      </c>
      <c r="AK88">
        <v>1.84</v>
      </c>
      <c r="AL88">
        <v>1.53</v>
      </c>
      <c r="AM88">
        <v>1.84</v>
      </c>
      <c r="AN88">
        <v>3.33</v>
      </c>
      <c r="AO88">
        <v>3</v>
      </c>
      <c r="AP88">
        <v>24.7171909652347</v>
      </c>
      <c r="AQ88">
        <v>12.3131431683565</v>
      </c>
      <c r="AR88">
        <v>18.515167066795598</v>
      </c>
      <c r="AS88">
        <v>0</v>
      </c>
      <c r="AT88">
        <v>0</v>
      </c>
      <c r="AU88">
        <v>0</v>
      </c>
      <c r="AV88">
        <v>0.15642105263157799</v>
      </c>
      <c r="AW88">
        <v>1.47</v>
      </c>
      <c r="AX88">
        <v>0.27666021641403399</v>
      </c>
      <c r="AY88">
        <v>7.6947368421052598E-2</v>
      </c>
      <c r="AZ88">
        <v>0.51</v>
      </c>
      <c r="BA88">
        <v>0.138739238059336</v>
      </c>
      <c r="BB88">
        <v>0.266631578947368</v>
      </c>
      <c r="BC88">
        <v>1.81</v>
      </c>
      <c r="BD88">
        <v>0.39097344243181098</v>
      </c>
      <c r="BE88">
        <v>0.216642105263157</v>
      </c>
      <c r="BF88">
        <v>0.628</v>
      </c>
      <c r="BG88">
        <v>0.14885874023024701</v>
      </c>
      <c r="BH88" t="b">
        <v>0</v>
      </c>
    </row>
    <row r="89" spans="1:61" x14ac:dyDescent="0.25">
      <c r="A89" t="s">
        <v>89</v>
      </c>
      <c r="B89">
        <v>8</v>
      </c>
      <c r="C89">
        <f>AVERAGE(C4,C8,C19,C21,C23,C26,C41,C44,C45,C49,C51,C52,C55,C56,C58,C62,C63,C64)</f>
        <v>0.34464388478204705</v>
      </c>
      <c r="D89">
        <v>0.33333333333333298</v>
      </c>
      <c r="E89">
        <v>29</v>
      </c>
      <c r="F89">
        <v>87</v>
      </c>
      <c r="G89">
        <v>0.897586206896551</v>
      </c>
      <c r="H89">
        <v>0.180765340633607</v>
      </c>
      <c r="I89">
        <v>0.03</v>
      </c>
      <c r="J89">
        <v>1.51</v>
      </c>
      <c r="K89">
        <v>1.22199999999999</v>
      </c>
      <c r="L89">
        <v>1.51</v>
      </c>
      <c r="M89">
        <v>2.0699999999999998</v>
      </c>
      <c r="N89">
        <v>1.19149999999999</v>
      </c>
      <c r="O89">
        <v>2.0699999999999998</v>
      </c>
      <c r="P89">
        <v>2.86</v>
      </c>
      <c r="Q89">
        <v>2.4434999999999998</v>
      </c>
      <c r="R89">
        <v>238.333333333333</v>
      </c>
      <c r="S89">
        <v>0.51</v>
      </c>
      <c r="T89">
        <v>0.44350000000000001</v>
      </c>
      <c r="U89">
        <v>0.51</v>
      </c>
      <c r="V89">
        <v>1.53</v>
      </c>
      <c r="W89">
        <v>1.2615000000000001</v>
      </c>
      <c r="X89">
        <v>1.53</v>
      </c>
      <c r="Y89">
        <v>0.35</v>
      </c>
      <c r="Z89">
        <v>0.124999999999999</v>
      </c>
      <c r="AA89">
        <v>0.35</v>
      </c>
      <c r="AB89">
        <v>3.58</v>
      </c>
      <c r="AC89">
        <v>3.1724999999999999</v>
      </c>
      <c r="AD89">
        <v>51.142857142857103</v>
      </c>
      <c r="AE89">
        <v>2.81</v>
      </c>
      <c r="AF89">
        <v>2.7250000000000001</v>
      </c>
      <c r="AG89">
        <v>2.81</v>
      </c>
      <c r="AH89">
        <v>3.33</v>
      </c>
      <c r="AI89">
        <v>2.2449999999999899</v>
      </c>
      <c r="AJ89">
        <v>64.038461538461505</v>
      </c>
      <c r="AK89">
        <v>2.27</v>
      </c>
      <c r="AL89">
        <v>2.27</v>
      </c>
      <c r="AM89">
        <v>2.27</v>
      </c>
      <c r="AN89">
        <v>3.58</v>
      </c>
      <c r="AO89">
        <v>6</v>
      </c>
      <c r="AP89">
        <v>18.882120990858802</v>
      </c>
      <c r="AQ89">
        <v>32.541443042313702</v>
      </c>
      <c r="AR89">
        <v>25.711782016586302</v>
      </c>
      <c r="AS89">
        <v>0</v>
      </c>
      <c r="AT89">
        <v>0</v>
      </c>
      <c r="AU89">
        <v>0</v>
      </c>
      <c r="AV89">
        <v>0.25677419354838699</v>
      </c>
      <c r="AW89">
        <v>1.0699999999999901</v>
      </c>
      <c r="AX89">
        <v>0.28729424162261002</v>
      </c>
      <c r="AY89">
        <v>0.29838709677419301</v>
      </c>
      <c r="AZ89">
        <v>1.35</v>
      </c>
      <c r="BA89">
        <v>0.30319903793993103</v>
      </c>
      <c r="BB89">
        <v>0.52096774193548301</v>
      </c>
      <c r="BC89">
        <v>1.97</v>
      </c>
      <c r="BD89">
        <v>0.48445083534105199</v>
      </c>
      <c r="BE89">
        <v>0.41548387096774098</v>
      </c>
      <c r="BF89">
        <v>1.0840000000000001</v>
      </c>
      <c r="BG89">
        <v>0.25093436630216098</v>
      </c>
      <c r="BH89" t="b">
        <v>0</v>
      </c>
    </row>
    <row r="90" spans="1:61" x14ac:dyDescent="0.25">
      <c r="A90" t="s">
        <v>90</v>
      </c>
      <c r="B90">
        <v>9</v>
      </c>
      <c r="C90">
        <v>1.8584455488322354E-2</v>
      </c>
      <c r="D90">
        <v>0.62419548549621495</v>
      </c>
      <c r="E90">
        <v>101.4</v>
      </c>
      <c r="F90">
        <v>170.8</v>
      </c>
      <c r="G90">
        <v>0.90322226685263896</v>
      </c>
      <c r="H90">
        <v>8.4162412509336995E-2</v>
      </c>
      <c r="I90">
        <v>0.39600000000000002</v>
      </c>
      <c r="J90">
        <v>1.77</v>
      </c>
      <c r="K90">
        <v>1.0355999999999901</v>
      </c>
      <c r="L90">
        <v>13.676545454545399</v>
      </c>
      <c r="M90">
        <v>1.296</v>
      </c>
      <c r="N90">
        <v>0.93669999999999898</v>
      </c>
      <c r="O90">
        <v>1.296</v>
      </c>
      <c r="P90">
        <v>2.524</v>
      </c>
      <c r="Q90">
        <v>1.9552</v>
      </c>
      <c r="R90">
        <v>5.0069433962264096</v>
      </c>
      <c r="S90">
        <v>1.1319999999999999</v>
      </c>
      <c r="T90">
        <v>0.60649999999999904</v>
      </c>
      <c r="U90">
        <v>1.1319999999999999</v>
      </c>
      <c r="V90">
        <v>1.81</v>
      </c>
      <c r="W90">
        <v>1.33679999999999</v>
      </c>
      <c r="X90">
        <v>1.81</v>
      </c>
      <c r="Y90">
        <v>1.248</v>
      </c>
      <c r="Z90">
        <v>1.00629999999999</v>
      </c>
      <c r="AA90">
        <v>1.248</v>
      </c>
      <c r="AB90">
        <v>3.2699999999999898</v>
      </c>
      <c r="AC90">
        <v>2.6115999999999899</v>
      </c>
      <c r="AD90">
        <v>22.088000000000001</v>
      </c>
      <c r="AE90">
        <v>2.778</v>
      </c>
      <c r="AF90">
        <v>1.96959999999999</v>
      </c>
      <c r="AG90">
        <v>2.778</v>
      </c>
      <c r="AH90">
        <v>3.05</v>
      </c>
      <c r="AI90">
        <v>1.8233999999999899</v>
      </c>
      <c r="AJ90">
        <v>3.05</v>
      </c>
      <c r="AK90">
        <v>2.63</v>
      </c>
      <c r="AL90">
        <v>1.97169999999999</v>
      </c>
      <c r="AM90">
        <v>2.63</v>
      </c>
      <c r="AN90">
        <v>3.6799999999999899</v>
      </c>
      <c r="AO90">
        <v>5.2</v>
      </c>
      <c r="AP90">
        <v>22.0096012594271</v>
      </c>
      <c r="AQ90">
        <v>15.9321869081166</v>
      </c>
      <c r="AR90">
        <v>18.9708940837718</v>
      </c>
      <c r="AS90">
        <v>0</v>
      </c>
      <c r="AT90">
        <v>0</v>
      </c>
      <c r="AU90">
        <v>0</v>
      </c>
      <c r="AV90">
        <v>0.14574259895330799</v>
      </c>
      <c r="AW90">
        <v>1.1599999999999999</v>
      </c>
      <c r="AX90">
        <v>0.22754158710956801</v>
      </c>
      <c r="AY90">
        <v>0.14206193112569601</v>
      </c>
      <c r="AZ90">
        <v>1.0779999999999901</v>
      </c>
      <c r="BA90">
        <v>0.18842742631571099</v>
      </c>
      <c r="BB90">
        <v>0.315137096556316</v>
      </c>
      <c r="BC90">
        <v>1.726</v>
      </c>
      <c r="BD90">
        <v>0.33459133730408003</v>
      </c>
      <c r="BE90">
        <v>0.242414328979592</v>
      </c>
      <c r="BF90">
        <v>1.0588</v>
      </c>
      <c r="BG90">
        <v>0.16938255684634901</v>
      </c>
      <c r="BH90" t="b">
        <v>1</v>
      </c>
      <c r="BI90" t="s">
        <v>161</v>
      </c>
    </row>
    <row r="91" spans="1:61" x14ac:dyDescent="0.25">
      <c r="A91" t="s">
        <v>91</v>
      </c>
      <c r="B91">
        <v>7</v>
      </c>
      <c r="C91">
        <f>AVERAGE(C82,C81,C83,C86,C61,C57,C50,C47,C40,C39,C30,C25,C22,C16,C10,C7,C2)</f>
        <v>0.24028879135024978</v>
      </c>
      <c r="D91">
        <v>0.51431625988157703</v>
      </c>
      <c r="E91">
        <v>71.5</v>
      </c>
      <c r="F91">
        <v>130.666666666666</v>
      </c>
      <c r="G91">
        <v>0.91872806213671798</v>
      </c>
      <c r="H91">
        <v>0.148106773993253</v>
      </c>
      <c r="I91">
        <v>0.15333333333333299</v>
      </c>
      <c r="J91">
        <v>1.4</v>
      </c>
      <c r="K91">
        <v>0.91566666666666596</v>
      </c>
      <c r="L91">
        <v>1.4</v>
      </c>
      <c r="M91">
        <v>1.1683333333333299</v>
      </c>
      <c r="N91">
        <v>0.69908333333333295</v>
      </c>
      <c r="O91">
        <v>1.1683333333333299</v>
      </c>
      <c r="P91">
        <v>2.7516666666666598</v>
      </c>
      <c r="Q91">
        <v>1.95625</v>
      </c>
      <c r="R91">
        <v>19.8597546487836</v>
      </c>
      <c r="S91">
        <v>1.00833333333333</v>
      </c>
      <c r="T91">
        <v>0.76624999999999999</v>
      </c>
      <c r="U91">
        <v>1.00833333333333</v>
      </c>
      <c r="V91">
        <v>1.41333333333333</v>
      </c>
      <c r="W91">
        <v>1.1054999999999999</v>
      </c>
      <c r="X91">
        <v>4.4851851851851796</v>
      </c>
      <c r="Y91">
        <v>1.155</v>
      </c>
      <c r="Z91">
        <v>0.80216666666666603</v>
      </c>
      <c r="AA91">
        <v>1.155</v>
      </c>
      <c r="AB91">
        <v>3.5016666666666598</v>
      </c>
      <c r="AC91">
        <v>2.6801666666666599</v>
      </c>
      <c r="AD91">
        <v>6.3674458874458804</v>
      </c>
      <c r="AE91">
        <v>3.0683333333333298</v>
      </c>
      <c r="AF91">
        <v>1.5467499999999901</v>
      </c>
      <c r="AG91">
        <v>3.0683333333333298</v>
      </c>
      <c r="AH91">
        <v>2.9749999999999899</v>
      </c>
      <c r="AI91">
        <v>1.83466666666666</v>
      </c>
      <c r="AJ91">
        <v>2.9749999999999899</v>
      </c>
      <c r="AK91">
        <v>2.4766666666666599</v>
      </c>
      <c r="AL91">
        <v>2.0016666666666598</v>
      </c>
      <c r="AM91">
        <v>2.4766666666666599</v>
      </c>
      <c r="AN91">
        <v>4.0750000000000002</v>
      </c>
      <c r="AO91">
        <v>4.1666666666666599</v>
      </c>
      <c r="AP91">
        <v>24.970122735228198</v>
      </c>
      <c r="AQ91">
        <v>19.339518737575901</v>
      </c>
      <c r="AR91">
        <v>22.154820736402002</v>
      </c>
      <c r="AS91">
        <v>0</v>
      </c>
      <c r="AT91">
        <v>0</v>
      </c>
      <c r="AU91">
        <v>0</v>
      </c>
      <c r="AV91">
        <v>0.12723713996852901</v>
      </c>
      <c r="AW91">
        <v>0.98</v>
      </c>
      <c r="AX91">
        <v>0.206834180303717</v>
      </c>
      <c r="AY91">
        <v>0.117875042883007</v>
      </c>
      <c r="AZ91">
        <v>0.87833333333333297</v>
      </c>
      <c r="BA91">
        <v>0.18127343364717299</v>
      </c>
      <c r="BB91">
        <v>0.34085250743573198</v>
      </c>
      <c r="BC91">
        <v>1.93</v>
      </c>
      <c r="BD91">
        <v>0.37552375634933999</v>
      </c>
      <c r="BE91">
        <v>0.28074976679477298</v>
      </c>
      <c r="BF91">
        <v>0.99983333333333302</v>
      </c>
      <c r="BG91">
        <v>0.18461520062853101</v>
      </c>
      <c r="BH91" t="b">
        <v>1</v>
      </c>
      <c r="BI91" t="s">
        <v>162</v>
      </c>
    </row>
    <row r="92" spans="1:61" x14ac:dyDescent="0.25">
      <c r="A92" t="s">
        <v>92</v>
      </c>
      <c r="B92">
        <v>10</v>
      </c>
      <c r="C92">
        <f>AVERAGE(C3,C6,C12,C24,C29,C60,C68,C88,C93)</f>
        <v>0.33513769350699479</v>
      </c>
      <c r="D92">
        <v>0.37634039936671498</v>
      </c>
      <c r="E92">
        <v>60</v>
      </c>
      <c r="F92">
        <v>172.166666666666</v>
      </c>
      <c r="G92">
        <v>0.88478051791203904</v>
      </c>
      <c r="H92">
        <v>0.104875254035993</v>
      </c>
      <c r="I92">
        <v>0.374999999999999</v>
      </c>
      <c r="J92">
        <v>2.22166666666666</v>
      </c>
      <c r="K92">
        <v>1.5912499999999901</v>
      </c>
      <c r="L92">
        <v>2.22166666666666</v>
      </c>
      <c r="M92">
        <v>0.97833333333333306</v>
      </c>
      <c r="N92">
        <v>0.80108333333333304</v>
      </c>
      <c r="O92">
        <v>0.97833333333333306</v>
      </c>
      <c r="P92">
        <v>2.68166666666666</v>
      </c>
      <c r="Q92">
        <v>1.68291666666666</v>
      </c>
      <c r="R92">
        <v>35.379166666666599</v>
      </c>
      <c r="S92">
        <v>0.97666666666666602</v>
      </c>
      <c r="T92">
        <v>0.58133333333333304</v>
      </c>
      <c r="U92">
        <v>0.97666666666666602</v>
      </c>
      <c r="V92">
        <v>1.5049999999999999</v>
      </c>
      <c r="W92">
        <v>1.26075</v>
      </c>
      <c r="X92">
        <v>1.5049999999999999</v>
      </c>
      <c r="Y92">
        <v>0.77</v>
      </c>
      <c r="Z92">
        <v>0.45958333333333301</v>
      </c>
      <c r="AA92">
        <v>0.77</v>
      </c>
      <c r="AB92">
        <v>3.2966666666666602</v>
      </c>
      <c r="AC92">
        <v>2.59916666666666</v>
      </c>
      <c r="AD92">
        <v>18.5683333333333</v>
      </c>
      <c r="AE92">
        <v>2.46</v>
      </c>
      <c r="AF92">
        <v>1.5079166666666599</v>
      </c>
      <c r="AG92">
        <v>2.46</v>
      </c>
      <c r="AH92">
        <v>2.7666666666666599</v>
      </c>
      <c r="AI92">
        <v>2.2290000000000001</v>
      </c>
      <c r="AJ92">
        <v>2.7666666666666599</v>
      </c>
      <c r="AK92">
        <v>2.9449999999999998</v>
      </c>
      <c r="AL92">
        <v>2.38283333333333</v>
      </c>
      <c r="AM92">
        <v>2.9449999999999998</v>
      </c>
      <c r="AN92">
        <v>4.11666666666666</v>
      </c>
      <c r="AO92">
        <v>4.1666666666666599</v>
      </c>
      <c r="AP92">
        <v>29.8901070164187</v>
      </c>
      <c r="AQ92">
        <v>23.880200730107099</v>
      </c>
      <c r="AR92">
        <v>26.885153873262901</v>
      </c>
      <c r="AS92">
        <v>0</v>
      </c>
      <c r="AT92">
        <v>0</v>
      </c>
      <c r="AU92">
        <v>0</v>
      </c>
      <c r="AV92">
        <v>0.226870218546493</v>
      </c>
      <c r="AW92">
        <v>1.5133333333333301</v>
      </c>
      <c r="AX92">
        <v>0.320522268789524</v>
      </c>
      <c r="AY92">
        <v>0.11211347571333501</v>
      </c>
      <c r="AZ92">
        <v>0.63666666666666605</v>
      </c>
      <c r="BA92">
        <v>0.15298697013457599</v>
      </c>
      <c r="BB92">
        <v>0.30611805588176699</v>
      </c>
      <c r="BC92">
        <v>1.93166666666666</v>
      </c>
      <c r="BD92">
        <v>0.39158975437072002</v>
      </c>
      <c r="BE92">
        <v>0.26607558512134299</v>
      </c>
      <c r="BF92">
        <v>0.834666666666666</v>
      </c>
      <c r="BG92">
        <v>0.186746270642731</v>
      </c>
      <c r="BH92" t="b">
        <v>1</v>
      </c>
      <c r="BI92" t="s">
        <v>163</v>
      </c>
    </row>
    <row r="93" spans="1:61" x14ac:dyDescent="0.25">
      <c r="A93" t="s">
        <v>93</v>
      </c>
      <c r="B93">
        <v>10</v>
      </c>
      <c r="C93">
        <v>2.8555135222404202E-2</v>
      </c>
      <c r="D93">
        <v>0.37634039936671498</v>
      </c>
      <c r="E93">
        <v>60</v>
      </c>
      <c r="F93">
        <v>172.166666666666</v>
      </c>
      <c r="G93">
        <v>0.88478051791203904</v>
      </c>
      <c r="H93">
        <v>0.104875254035993</v>
      </c>
      <c r="I93">
        <v>0.374999999999999</v>
      </c>
      <c r="J93">
        <v>2.22166666666666</v>
      </c>
      <c r="K93">
        <v>1.5912499999999901</v>
      </c>
      <c r="L93">
        <v>2.22166666666666</v>
      </c>
      <c r="M93">
        <v>0.97833333333333306</v>
      </c>
      <c r="N93">
        <v>0.80108333333333304</v>
      </c>
      <c r="O93">
        <v>0.97833333333333306</v>
      </c>
      <c r="P93">
        <v>2.68166666666666</v>
      </c>
      <c r="Q93">
        <v>1.68291666666666</v>
      </c>
      <c r="R93">
        <v>35.379166666666599</v>
      </c>
      <c r="S93">
        <v>0.97666666666666602</v>
      </c>
      <c r="T93">
        <v>0.58133333333333304</v>
      </c>
      <c r="U93">
        <v>0.97666666666666602</v>
      </c>
      <c r="V93">
        <v>1.5049999999999999</v>
      </c>
      <c r="W93">
        <v>1.26075</v>
      </c>
      <c r="X93">
        <v>1.5049999999999999</v>
      </c>
      <c r="Y93">
        <v>0.77</v>
      </c>
      <c r="Z93">
        <v>0.45958333333333301</v>
      </c>
      <c r="AA93">
        <v>0.77</v>
      </c>
      <c r="AB93">
        <v>3.2966666666666602</v>
      </c>
      <c r="AC93">
        <v>2.59916666666666</v>
      </c>
      <c r="AD93">
        <v>18.5683333333333</v>
      </c>
      <c r="AE93">
        <v>2.46</v>
      </c>
      <c r="AF93">
        <v>1.5079166666666599</v>
      </c>
      <c r="AG93">
        <v>2.46</v>
      </c>
      <c r="AH93">
        <v>2.7666666666666599</v>
      </c>
      <c r="AI93">
        <v>2.2290000000000001</v>
      </c>
      <c r="AJ93">
        <v>2.7666666666666599</v>
      </c>
      <c r="AK93">
        <v>2.9449999999999998</v>
      </c>
      <c r="AL93">
        <v>2.38283333333333</v>
      </c>
      <c r="AM93">
        <v>2.9449999999999998</v>
      </c>
      <c r="AN93">
        <v>4.11666666666666</v>
      </c>
      <c r="AO93">
        <v>4.1666666666666599</v>
      </c>
      <c r="AP93">
        <v>29.8901070164187</v>
      </c>
      <c r="AQ93">
        <v>23.880200730107099</v>
      </c>
      <c r="AR93">
        <v>26.885153873262901</v>
      </c>
      <c r="AS93">
        <v>0</v>
      </c>
      <c r="AT93">
        <v>0</v>
      </c>
      <c r="AU93">
        <v>0</v>
      </c>
      <c r="AV93">
        <v>0.226870218546493</v>
      </c>
      <c r="AW93">
        <v>1.5133333333333301</v>
      </c>
      <c r="AX93">
        <v>0.320522268789524</v>
      </c>
      <c r="AY93">
        <v>0.11211347571333501</v>
      </c>
      <c r="AZ93">
        <v>0.63666666666666605</v>
      </c>
      <c r="BA93">
        <v>0.15298697013457599</v>
      </c>
      <c r="BB93">
        <v>0.30611805588176699</v>
      </c>
      <c r="BC93">
        <v>1.93166666666666</v>
      </c>
      <c r="BD93">
        <v>0.39158975437072002</v>
      </c>
      <c r="BE93">
        <v>0.26607558512134299</v>
      </c>
      <c r="BF93">
        <v>0.834666666666666</v>
      </c>
      <c r="BG93">
        <v>0.186746270642731</v>
      </c>
      <c r="BH93" t="b">
        <v>1</v>
      </c>
      <c r="BI93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Ajmal Niazi</cp:lastModifiedBy>
  <dcterms:created xsi:type="dcterms:W3CDTF">2026-01-12T01:07:37Z</dcterms:created>
  <dcterms:modified xsi:type="dcterms:W3CDTF">2026-01-12T03:26:18Z</dcterms:modified>
</cp:coreProperties>
</file>